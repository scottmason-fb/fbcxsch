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oster" sheetId="1" state="visible" r:id="rId3"/>
    <sheet name="Time Off" sheetId="2" state="visible" r:id="rId4"/>
    <sheet name="Weekly Schedule" sheetId="3" state="visible" r:id="rId5"/>
    <sheet name="How To U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<sst xmlns="http://schemas.openxmlformats.org/spreadsheetml/2006/main" count="222" uniqueCount="96">
  <si>
    <t xml:space="preserve">CX Team Roster</t>
  </si>
  <si>
    <t xml:space="preserve">Update this sheet with your agents. Shift cells accept any text (e.g. "9am–5pm", "Chat", "OFF").</t>
  </si>
  <si>
    <t xml:space="preserve">Agent Name</t>
  </si>
  <si>
    <t xml:space="preserve">Team</t>
  </si>
  <si>
    <t xml:space="preserve">Type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</si>
  <si>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</si>
  <si>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</si>
  <si>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</si>
  <si>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</si>
  <si>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</si>
  <si>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</si>
  <si>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</si>
  <si>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Weekly Hrs</t>
  </si>
  <si>
    <t xml:space="preserve">Notes</t>
  </si>
  <si>
    <t xml:space="preserve">Alex Chen</t>
  </si>
  <si>
    <t xml:space="preserve">Support</t>
  </si>
  <si>
    <t xml:space="preserve">FT</t>
  </si>
  <si>
    <t xml:space="preserve">9am–5pm</t>
  </si>
  <si>
    <t xml:space="preserve">OFF</t>
  </si>
  <si>
    <t xml:space="preserve">Maria Santos</t>
  </si>
  <si>
    <t xml:space="preserve">10am–6pm</t>
  </si>
  <si>
    <t xml:space="preserve">Jordan Lee</t>
  </si>
  <si>
    <t xml:space="preserve">PT</t>
  </si>
  <si>
    <t xml:space="preserve">9am–2pm</t>
  </si>
  <si>
    <t xml:space="preserve">Taylor Brown</t>
  </si>
  <si>
    <t xml:space="preserve">Casey Williams</t>
  </si>
  <si>
    <t xml:space="preserve">1pm–9pm</t>
  </si>
  <si>
    <t xml:space="preserve">Sam Johnson</t>
  </si>
  <si>
    <t xml:space="preserve">Retail</t>
  </si>
  <si>
    <t xml:space="preserve">Morgan Davis</t>
  </si>
  <si>
    <t xml:space="preserve">Riley Martinez</t>
  </si>
  <si>
    <t xml:space="preserve">9am–3pm</t>
  </si>
  <si>
    <t xml:space="preserve">Devon Thompson</t>
  </si>
  <si>
    <t xml:space="preserve">12pm–8pm</t>
  </si>
  <si>
    <t xml:space="preserve">Jamie Wilson</t>
  </si>
  <si>
    <t xml:space="preserve">Time Off Requests</t>
  </si>
  <si>
    <t xml:space="preserve">Paste rows from your Slack workflow export here. Status = Approved/Pending/Denied. Only Approved requests affect the schedule.</t>
  </si>
  <si>
    <t xml:space="preserve">#</t>
  </si>
  <si>
    <t xml:space="preserve">Submitted</t>
  </si>
  <si>
    <t xml:space="preserve">Start Date</t>
  </si>
  <si>
    <t xml:space="preserve">End Date</t>
  </si>
  <si>
    <t xml:space="preserve"># Days</t>
  </si>
  <si>
    <t xml:space="preserve">Status</t>
  </si>
  <si>
    <t xml:space="preserve">Approved By</t>
  </si>
  <si>
    <t xml:space="preserve">PTO</t>
  </si>
  <si>
    <t xml:space="preserve">Approved</t>
  </si>
  <si>
    <t xml:space="preserve">Scott M.</t>
  </si>
  <si>
    <t xml:space="preserve">Sick</t>
  </si>
  <si>
    <t xml:space="preserve">Personal</t>
  </si>
  <si>
    <t xml:space="preserve">Pending</t>
  </si>
  <si>
    <t xml:space="preserve">Awaiting approval</t>
  </si>
  <si>
    <t xml:space="preserve">Vacation</t>
  </si>
  <si>
    <t xml:space="preserve">Full week out</t>
  </si>
  <si>
    <t xml:space="preserve">CX Team — Weekly Schedule</t>
  </si>
  <si>
    <t xml:space="preserve">Week Starting (Monday):</t>
  </si>
  <si>
    <t xml:space="preserve">← Change this date to any Monday to view that week's schedule</t>
  </si>
  <si>
    <t xml:space="preserve">Agent</t>
  </si>
  <si>
    <t xml:space="preserve">Avail. Hrs</t>
  </si>
  <si>
    <t xml:space="preserve">SUPPORT TEAM</t>
  </si>
  <si>
    <t xml:space="preserve">Agents Available</t>
  </si>
  <si>
    <t xml:space="preserve">RETAIL TEAM</t>
  </si>
  <si>
    <t xml:space="preserve">TOTAL COVERAGE</t>
  </si>
  <si>
    <t xml:space="preserve">How To Use This Scheduling System</t>
  </si>
  <si>
    <t xml:space="preserve">STEP 1 — Set Up Your Roster</t>
  </si>
  <si>
    <t xml:space="preserve">Go to the Roster tab</t>
  </si>
  <si>
    <t xml:space="preserve">Add all your agents: name, team (Support/Retail), employment type, and their typical shift for each day (e.g. "9am–5pm"). Use "OFF" for days they don't work.</t>
  </si>
  <si>
    <t xml:space="preserve">Weekly Hours</t>
  </si>
  <si>
    <t xml:space="preserve">Enter each agent's contracted weekly hours in the "Weekly Hrs" column. This is used to calculate available hours after time-off.</t>
  </si>
  <si>
    <t xml:space="preserve">STEP 2 — Connect Your Slack Workflow</t>
  </si>
  <si>
    <t xml:space="preserve">Current setup</t>
  </si>
  <si>
    <t xml:space="preserve">Your Slack workflow feeds time-off requests into a separate spreadsheet. You currently copy those manually into your schedule.</t>
  </si>
  <si>
    <t xml:space="preserve">Better setup</t>
  </si>
  <si>
    <t xml:space="preserve">In your Slack workflow builder, change the destination Google Sheet to this file's Time Off tab (or paste rows here each week). Required columns: Agent Name (C), Start Date (E), End Date (F), Type (H), Status (I).</t>
  </si>
  <si>
    <t xml:space="preserve">Approval</t>
  </si>
  <si>
    <t xml:space="preserve">Change a request's Status to "Approved" to have it automatically reflected in the Weekly Schedule. "Pending" and "Denied" are ignored.</t>
  </si>
  <si>
    <t xml:space="preserve">STEP 3 — Use the Weekly Schedule</t>
  </si>
  <si>
    <t xml:space="preserve">Change the week</t>
  </si>
  <si>
    <t xml:space="preserve">Click cell C2 on the Weekly Schedule tab and type any Monday's date. The entire schedule will update automatically.</t>
  </si>
  <si>
    <t xml:space="preserve">What you'll see</t>
  </si>
  <si>
    <t xml:space="preserve">Each agent's cell shows their normal shift (from Roster). If they have an Approved time-off request covering that day, it shows the type (PTO, Sick, etc.) highlighted in orange.</t>
  </si>
  <si>
    <t xml:space="preserve">Coverage rows</t>
  </si>
  <si>
    <t xml:space="preserve">The "Agents Available" rows at the bottom of each section count how many agents are scheduled to work each day (not off or on leave).</t>
  </si>
  <si>
    <t xml:space="preserve">STEP 4 — Share with Agents</t>
  </si>
  <si>
    <t xml:space="preserve">Google Sheets sharing</t>
  </si>
  <si>
    <t xml:space="preserve">Import this file into Google Sheets (File → Import). Share the sheet with your agents in view-only mode so they can always see the current week.</t>
  </si>
  <si>
    <t xml:space="preserve">Slack notification</t>
  </si>
  <si>
    <t xml:space="preserve">Use the automation script (cx_schedule_automation.py) to generate and post a weekly text summary to a Slack channel each Monday morning.</t>
  </si>
  <si>
    <t xml:space="preserve">TIPS</t>
  </si>
  <si>
    <t xml:space="preserve">Always enter Monday's date</t>
  </si>
  <si>
    <t xml:space="preserve">The schedule is built assuming C2 is a Monday. Entering a different day will shift all the day columns incorrectly.</t>
  </si>
  <si>
    <t xml:space="preserve">Multi-day time off</t>
  </si>
  <si>
    <t xml:space="preserve">A single request row in Time Off covers any date range. If an agent is out Mon–Fri, one row is enough — the schedule will mark all five days.</t>
  </si>
  <si>
    <t xml:space="preserve">Adding agents</t>
  </si>
  <si>
    <t xml:space="preserve">Add new agents to the Roster tab. The schedule formulas reference Roster!$A:$A by agent name, so new rows are picked up automatically.</t>
  </si>
  <si>
    <t xml:space="preserve">Partial days</t>
  </si>
  <si>
    <t xml:space="preserve">This system handles full-day absences. For partial days (e.g. half-day PTO), add a note in the Time Off "Notes" column and manage manually.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</si>
</sst>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0"/>
    <numFmt numFmtId="167" formatCode="dddd&quot;, &quot;mmmm\ d\ 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3A5C"/>
        <bgColor rgb="FF1F4E79"/>
      </patternFill>
    </fill>
    <fill>
      <patternFill patternType="solid">
        <fgColor rgb="FFDEEAF1"/>
        <bgColor rgb="FFDEEBF7"/>
      </patternFill>
    </fill>
    <fill>
      <patternFill patternType="solid">
        <fgColor rgb="FF2F75B6"/>
        <bgColor rgb="FF0066CC"/>
      </patternFill>
    </fill>
    <fill>
      <patternFill patternType="solid">
        <fgColor rgb="FFDEEBF7"/>
        <bgColor rgb="FFDEEAF1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D6EAF0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1F4E79"/>
        <bgColor rgb="FF17596E"/>
      </patternFill>
    </fill>
    <fill>
      <patternFill patternType="solid">
        <fgColor rgb="FF375623"/>
        <bgColor rgb="FF276221"/>
      </patternFill>
    </fill>
    <fill>
      <patternFill patternType="solid">
        <fgColor rgb="FF17596E"/>
        <bgColor rgb="FF1F4E79"/>
      </patternFill>
    </fill>
    <fill>
      <patternFill patternType="solid">
        <fgColor rgb="FFD6EAF0"/>
        <bgColor rgb="FFDEEA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DEEBF7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i val="1"/>
        <color rgb="FFC55A11"/>
        <sz val="9"/>
      </font>
      <fill>
        <patternFill>
          <bgColor rgb="FFFCE4D6"/>
        </patternFill>
      </fill>
    </dxf>
    <dxf>
      <font>
        <name val="Arial"/>
        <charset val="1"/>
        <family val="0"/>
        <i val="1"/>
        <color rgb="FF595959"/>
        <sz val="9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17596E"/>
      <rgbColor rgb="FFCCCCCC"/>
      <rgbColor rgb="FF808080"/>
      <rgbColor rgb="FF9999FF"/>
      <rgbColor rgb="FF993366"/>
      <rgbColor rgb="FFFFF2CC"/>
      <rgbColor rgb="FFD6EAF0"/>
      <rgbColor rgb="FF660066"/>
      <rgbColor rgb="FFFF8080"/>
      <rgbColor rgb="FF0066CC"/>
      <rgbColor rgb="FFDEEA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6EFCE"/>
      <rgbColor rgb="FFFFEB9C"/>
      <rgbColor rgb="FFE2EFDA"/>
      <rgbColor rgb="FFFCE4D6"/>
      <rgbColor rgb="FFF2F2F2"/>
      <rgbColor rgb="FFFFC7CE"/>
      <rgbColor rgb="FF2F75B6"/>
      <rgbColor rgb="FF33CCCC"/>
      <rgbColor rgb="FF99CC00"/>
      <rgbColor rgb="FFFFCC00"/>
      <rgbColor rgb="FFFF9900"/>
      <rgbColor rgb="FFC55A11"/>
      <rgbColor rgb="FF595959"/>
      <rgbColor rgb="FF969696"/>
      <rgbColor rgb="FF1A3A5C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10" min="4" style="0" width="14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9.5" hidden="false" customHeight="true" outlineLevel="0" collapsed="false">
      <c r="A4" s="4" t="s">
        <v>14</v>
      </c>
      <c r="B4" s="4" t="s">
        <v>15</v>
      </c>
      <c r="C4" s="5" t="s">
        <v>16</v>
      </c>
      <c r="D4" s="5" t="s">
        <v>17</v>
      </c>
      <c r="E4" s="5" t="s">
        <v>17</v>
      </c>
      <c r="F4" s="5" t="s">
        <v>17</v>
      </c>
      <c r="G4" s="5" t="s">
        <v>17</v>
      </c>
      <c r="H4" s="5" t="s">
        <v>17</v>
      </c>
      <c r="I4" s="6" t="s">
        <v>18</v>
      </c>
      <c r="J4" s="6" t="s">
        <v>18</v>
      </c>
      <c r="K4" s="5" t="n">
        <v>40</v>
      </c>
      <c r="L4" s="5"/>
    </row>
    <row r="5" customFormat="false" ht="19.5" hidden="false" customHeight="true" outlineLevel="0" collapsed="false">
      <c r="A5" s="4" t="s">
        <v>19</v>
      </c>
      <c r="B5" s="4" t="s">
        <v>15</v>
      </c>
      <c r="C5" s="5" t="s">
        <v>16</v>
      </c>
      <c r="D5" s="5" t="s">
        <v>20</v>
      </c>
      <c r="E5" s="5" t="s">
        <v>20</v>
      </c>
      <c r="F5" s="5" t="s">
        <v>20</v>
      </c>
      <c r="G5" s="5" t="s">
        <v>20</v>
      </c>
      <c r="H5" s="5" t="s">
        <v>20</v>
      </c>
      <c r="I5" s="6" t="s">
        <v>18</v>
      </c>
      <c r="J5" s="6" t="s">
        <v>18</v>
      </c>
      <c r="K5" s="5" t="n">
        <v>40</v>
      </c>
      <c r="L5" s="5"/>
    </row>
    <row r="6" customFormat="false" ht="19.5" hidden="false" customHeight="true" outlineLevel="0" collapsed="false">
      <c r="A6" s="4" t="s">
        <v>21</v>
      </c>
      <c r="B6" s="4" t="s">
        <v>15</v>
      </c>
      <c r="C6" s="5" t="s">
        <v>22</v>
      </c>
      <c r="D6" s="5" t="s">
        <v>23</v>
      </c>
      <c r="E6" s="5" t="s">
        <v>23</v>
      </c>
      <c r="F6" s="5" t="s">
        <v>23</v>
      </c>
      <c r="G6" s="5" t="s">
        <v>23</v>
      </c>
      <c r="H6" s="5" t="s">
        <v>23</v>
      </c>
      <c r="I6" s="6" t="s">
        <v>18</v>
      </c>
      <c r="J6" s="6" t="s">
        <v>18</v>
      </c>
      <c r="K6" s="5" t="n">
        <v>25</v>
      </c>
      <c r="L6" s="5"/>
    </row>
    <row r="7" customFormat="false" ht="19.5" hidden="false" customHeight="true" outlineLevel="0" collapsed="false">
      <c r="A7" s="4" t="s">
        <v>24</v>
      </c>
      <c r="B7" s="4" t="s">
        <v>15</v>
      </c>
      <c r="C7" s="5" t="s">
        <v>16</v>
      </c>
      <c r="D7" s="6" t="s">
        <v>18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6" t="s">
        <v>18</v>
      </c>
      <c r="K7" s="5" t="n">
        <v>40</v>
      </c>
      <c r="L7" s="5"/>
    </row>
    <row r="8" customFormat="false" ht="19.5" hidden="false" customHeight="true" outlineLevel="0" collapsed="false">
      <c r="A8" s="4" t="s">
        <v>25</v>
      </c>
      <c r="B8" s="4" t="s">
        <v>15</v>
      </c>
      <c r="C8" s="5" t="s">
        <v>16</v>
      </c>
      <c r="D8" s="5" t="s">
        <v>26</v>
      </c>
      <c r="E8" s="5" t="s">
        <v>26</v>
      </c>
      <c r="F8" s="5" t="s">
        <v>26</v>
      </c>
      <c r="G8" s="5" t="s">
        <v>26</v>
      </c>
      <c r="H8" s="5" t="s">
        <v>26</v>
      </c>
      <c r="I8" s="6" t="s">
        <v>18</v>
      </c>
      <c r="J8" s="6" t="s">
        <v>18</v>
      </c>
      <c r="K8" s="5" t="n">
        <v>40</v>
      </c>
      <c r="L8" s="5"/>
    </row>
    <row r="9" customFormat="false" ht="19.5" hidden="false" customHeight="true" outlineLevel="0" collapsed="false">
      <c r="A9" s="7" t="s">
        <v>27</v>
      </c>
      <c r="B9" s="7" t="s">
        <v>28</v>
      </c>
      <c r="C9" s="8" t="s">
        <v>16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6" t="s">
        <v>18</v>
      </c>
      <c r="J9" s="6" t="s">
        <v>18</v>
      </c>
      <c r="K9" s="8" t="n">
        <v>40</v>
      </c>
      <c r="L9" s="8"/>
    </row>
    <row r="10" customFormat="false" ht="19.5" hidden="false" customHeight="true" outlineLevel="0" collapsed="false">
      <c r="A10" s="7" t="s">
        <v>29</v>
      </c>
      <c r="B10" s="7" t="s">
        <v>28</v>
      </c>
      <c r="C10" s="8" t="s">
        <v>16</v>
      </c>
      <c r="D10" s="8" t="s">
        <v>20</v>
      </c>
      <c r="E10" s="8" t="s">
        <v>20</v>
      </c>
      <c r="F10" s="6" t="s">
        <v>18</v>
      </c>
      <c r="G10" s="8" t="s">
        <v>20</v>
      </c>
      <c r="H10" s="8" t="s">
        <v>20</v>
      </c>
      <c r="I10" s="8" t="s">
        <v>20</v>
      </c>
      <c r="J10" s="6" t="s">
        <v>18</v>
      </c>
      <c r="K10" s="8" t="n">
        <v>40</v>
      </c>
      <c r="L10" s="8"/>
    </row>
    <row r="11" customFormat="false" ht="19.5" hidden="false" customHeight="true" outlineLevel="0" collapsed="false">
      <c r="A11" s="7" t="s">
        <v>30</v>
      </c>
      <c r="B11" s="7" t="s">
        <v>28</v>
      </c>
      <c r="C11" s="8" t="s">
        <v>22</v>
      </c>
      <c r="D11" s="8" t="s">
        <v>31</v>
      </c>
      <c r="E11" s="8" t="s">
        <v>31</v>
      </c>
      <c r="F11" s="8" t="s">
        <v>31</v>
      </c>
      <c r="G11" s="8" t="s">
        <v>31</v>
      </c>
      <c r="H11" s="8" t="s">
        <v>31</v>
      </c>
      <c r="I11" s="6" t="s">
        <v>18</v>
      </c>
      <c r="J11" s="6" t="s">
        <v>18</v>
      </c>
      <c r="K11" s="8" t="n">
        <v>30</v>
      </c>
      <c r="L11" s="8"/>
    </row>
    <row r="12" customFormat="false" ht="19.5" hidden="false" customHeight="true" outlineLevel="0" collapsed="false">
      <c r="A12" s="7" t="s">
        <v>32</v>
      </c>
      <c r="B12" s="7" t="s">
        <v>28</v>
      </c>
      <c r="C12" s="8" t="s">
        <v>16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6" t="s">
        <v>18</v>
      </c>
      <c r="J12" s="6" t="s">
        <v>18</v>
      </c>
      <c r="K12" s="8" t="n">
        <v>40</v>
      </c>
      <c r="L12" s="8"/>
    </row>
    <row r="13" customFormat="false" ht="19.5" hidden="false" customHeight="true" outlineLevel="0" collapsed="false">
      <c r="A13" s="7" t="s">
        <v>34</v>
      </c>
      <c r="B13" s="7" t="s">
        <v>28</v>
      </c>
      <c r="C13" s="8" t="s">
        <v>16</v>
      </c>
      <c r="D13" s="6" t="s">
        <v>18</v>
      </c>
      <c r="E13" s="8" t="s">
        <v>17</v>
      </c>
      <c r="F13" s="8" t="s">
        <v>17</v>
      </c>
      <c r="G13" s="8" t="s">
        <v>17</v>
      </c>
      <c r="H13" s="8" t="s">
        <v>17</v>
      </c>
      <c r="I13" s="8" t="s">
        <v>17</v>
      </c>
      <c r="J13" s="6" t="s">
        <v>18</v>
      </c>
      <c r="K13" s="8" t="n">
        <v>40</v>
      </c>
      <c r="L13" s="8"/>
    </row>
  </sheetData>
  <mergeCells count="2">
    <mergeCell ref="A1:L1"/>
    <mergeCell ref="A2:L2"/>
  </mergeCells>
  <conditionalFormatting sqref="A4:L100">
    <cfRule type="expression" priority="2" aboveAverage="0" equalAverage="0" bottom="0" percent="0" rank="0" text="" dxfId="0">
      <formula>$B4="Support"</formula>
    </cfRule>
  </conditionalFormatting>
  <dataValidations count="2">
    <dataValidation allowBlank="false" errorStyle="stop" operator="between" showDropDown="false" showErrorMessage="false" showInputMessage="false" sqref="B4:B100" type="list">
      <formula1>"Support,Retail"</formula1>
      <formula2>0</formula2>
    </dataValidation>
    <dataValidation allowBlank="false" errorStyle="stop" operator="between" showDropDown="false" showErrorMessage="false" showInputMessage="false" sqref="C4:C100" type="list">
      <formula1>"FT,PT"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6"/>
    <pageSetUpPr fitToPage="fals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24"/>
  </cols>
  <sheetData>
    <row r="1" customFormat="false" ht="30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1.5" hidden="false" customHeight="true" outlineLevel="0" collapsed="false">
      <c r="A3" s="3" t="s">
        <v>37</v>
      </c>
      <c r="B3" s="3" t="s">
        <v>38</v>
      </c>
      <c r="C3" s="3" t="s">
        <v>2</v>
      </c>
      <c r="D3" s="3" t="s">
        <v>3</v>
      </c>
      <c r="E3" s="3" t="s">
        <v>39</v>
      </c>
      <c r="F3" s="3" t="s">
        <v>40</v>
      </c>
      <c r="G3" s="3" t="s">
        <v>41</v>
      </c>
      <c r="H3" s="3" t="s">
        <v>4</v>
      </c>
      <c r="I3" s="3" t="s">
        <v>42</v>
      </c>
      <c r="J3" s="3" t="s">
        <v>43</v>
      </c>
      <c r="K3" s="3" t="s">
        <v>13</v>
      </c>
    </row>
    <row r="4" customFormat="false" ht="19.5" hidden="false" customHeight="true" outlineLevel="0" collapsed="false">
      <c r="A4" s="9" t="n">
        <v>1</v>
      </c>
      <c r="B4" s="10" t="n">
        <v>46151</v>
      </c>
      <c r="C4" s="11" t="s">
        <v>14</v>
      </c>
      <c r="D4" s="11" t="s">
        <v>15</v>
      </c>
      <c r="E4" s="12" t="n">
        <v>46160</v>
      </c>
      <c r="F4" s="12" t="n">
        <v>46160</v>
      </c>
      <c r="G4" s="13" t="n">
        <f aca="false">F4-E4+1</f>
        <v>1</v>
      </c>
      <c r="H4" s="11" t="s">
        <v>44</v>
      </c>
      <c r="I4" s="14" t="s">
        <v>45</v>
      </c>
      <c r="J4" s="11" t="s">
        <v>46</v>
      </c>
      <c r="K4" s="11"/>
    </row>
    <row r="5" customFormat="false" ht="19.5" hidden="false" customHeight="true" outlineLevel="0" collapsed="false">
      <c r="A5" s="9" t="n">
        <v>2</v>
      </c>
      <c r="B5" s="10" t="n">
        <v>46153</v>
      </c>
      <c r="C5" s="11" t="s">
        <v>19</v>
      </c>
      <c r="D5" s="11" t="s">
        <v>15</v>
      </c>
      <c r="E5" s="12" t="n">
        <v>46155</v>
      </c>
      <c r="F5" s="12" t="n">
        <v>46156</v>
      </c>
      <c r="G5" s="13" t="n">
        <f aca="false">F5-E5+1</f>
        <v>2</v>
      </c>
      <c r="H5" s="11" t="s">
        <v>47</v>
      </c>
      <c r="I5" s="14" t="s">
        <v>45</v>
      </c>
      <c r="J5" s="11" t="s">
        <v>46</v>
      </c>
      <c r="K5" s="11"/>
    </row>
    <row r="6" customFormat="false" ht="19.5" hidden="false" customHeight="true" outlineLevel="0" collapsed="false">
      <c r="A6" s="9" t="n">
        <v>3</v>
      </c>
      <c r="B6" s="10" t="n">
        <v>46154</v>
      </c>
      <c r="C6" s="11" t="s">
        <v>21</v>
      </c>
      <c r="D6" s="11" t="s">
        <v>15</v>
      </c>
      <c r="E6" s="12" t="n">
        <v>46164</v>
      </c>
      <c r="F6" s="12" t="n">
        <v>46164</v>
      </c>
      <c r="G6" s="13" t="n">
        <f aca="false">F6-E6+1</f>
        <v>1</v>
      </c>
      <c r="H6" s="11" t="s">
        <v>48</v>
      </c>
      <c r="I6" s="15" t="s">
        <v>49</v>
      </c>
      <c r="J6" s="11"/>
      <c r="K6" s="11" t="s">
        <v>50</v>
      </c>
    </row>
    <row r="7" customFormat="false" ht="19.5" hidden="false" customHeight="true" outlineLevel="0" collapsed="false">
      <c r="A7" s="9" t="n">
        <v>4</v>
      </c>
      <c r="B7" s="10" t="n">
        <v>46150</v>
      </c>
      <c r="C7" s="11" t="s">
        <v>27</v>
      </c>
      <c r="D7" s="11" t="s">
        <v>28</v>
      </c>
      <c r="E7" s="12" t="n">
        <v>46161</v>
      </c>
      <c r="F7" s="12" t="n">
        <v>46161</v>
      </c>
      <c r="G7" s="13" t="n">
        <f aca="false">F7-E7+1</f>
        <v>1</v>
      </c>
      <c r="H7" s="11" t="s">
        <v>44</v>
      </c>
      <c r="I7" s="14" t="s">
        <v>45</v>
      </c>
      <c r="J7" s="11" t="s">
        <v>46</v>
      </c>
      <c r="K7" s="11"/>
    </row>
    <row r="8" customFormat="false" ht="19.5" hidden="false" customHeight="true" outlineLevel="0" collapsed="false">
      <c r="A8" s="9" t="n">
        <v>5</v>
      </c>
      <c r="B8" s="10" t="n">
        <v>46152</v>
      </c>
      <c r="C8" s="11" t="s">
        <v>32</v>
      </c>
      <c r="D8" s="11" t="s">
        <v>28</v>
      </c>
      <c r="E8" s="12" t="n">
        <v>46167</v>
      </c>
      <c r="F8" s="12" t="n">
        <v>46171</v>
      </c>
      <c r="G8" s="13" t="n">
        <f aca="false">F8-E8+1</f>
        <v>5</v>
      </c>
      <c r="H8" s="11" t="s">
        <v>51</v>
      </c>
      <c r="I8" s="14" t="s">
        <v>45</v>
      </c>
      <c r="J8" s="11" t="s">
        <v>46</v>
      </c>
      <c r="K8" s="11" t="s">
        <v>52</v>
      </c>
    </row>
    <row r="9" customFormat="false" ht="19.5" hidden="false" customHeight="true" outlineLevel="0" collapsed="false">
      <c r="A9" s="9" t="n">
        <v>6</v>
      </c>
      <c r="B9" s="10" t="n">
        <v>46155</v>
      </c>
      <c r="C9" s="11" t="s">
        <v>24</v>
      </c>
      <c r="D9" s="11" t="s">
        <v>15</v>
      </c>
      <c r="E9" s="12" t="n">
        <v>46168</v>
      </c>
      <c r="F9" s="12" t="n">
        <v>46168</v>
      </c>
      <c r="G9" s="13" t="n">
        <f aca="false">F9-E9+1</f>
        <v>1</v>
      </c>
      <c r="H9" s="11" t="s">
        <v>48</v>
      </c>
      <c r="I9" s="15" t="s">
        <v>49</v>
      </c>
      <c r="J9" s="11"/>
      <c r="K9" s="11"/>
    </row>
  </sheetData>
  <mergeCells count="2">
    <mergeCell ref="A1:K1"/>
    <mergeCell ref="A2:K2"/>
  </mergeCells>
  <conditionalFormatting sqref="I4:I200">
    <cfRule type="cellIs" priority="2" operator="equal" aboveAverage="0" equalAverage="0" bottom="0" percent="0" rank="0" text="" dxfId="1">
      <formula>"Approved"</formula>
    </cfRule>
    <cfRule type="cellIs" priority="3" operator="equal" aboveAverage="0" equalAverage="0" bottom="0" percent="0" rank="0" text="" dxfId="2">
      <formula>"Pending"</formula>
    </cfRule>
    <cfRule type="cellIs" priority="4" operator="equal" aboveAverage="0" equalAverage="0" bottom="0" percent="0" rank="0" text="" dxfId="3">
      <formula>"Denied"</formula>
    </cfRule>
  </conditionalFormatting>
  <dataValidations count="2">
    <dataValidation allowBlank="false" errorStyle="stop" operator="between" showDropDown="false" showErrorMessage="false" showInputMessage="false" sqref="I4:I200" type="list">
      <formula1>"Approved,Pending,Denied"</formula1>
      <formula2>0</formula2>
    </dataValidation>
    <dataValidation allowBlank="true" errorStyle="stop" operator="between" showDropDown="false" showErrorMessage="false" showInputMessage="false" sqref="H4:H200" type="list">
      <formula1>"PTO,Sick,Personal,Holiday,Bereavement,Vacation"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J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9" min="3" style="0" width="13"/>
    <col collapsed="false" customWidth="true" hidden="false" outlineLevel="0" max="10" min="10" style="0" width="11"/>
  </cols>
  <sheetData>
    <row r="1" customFormat="false" ht="36" hidden="false" customHeight="true" outlineLevel="0" collapsed="false">
      <c r="A1" s="16" t="s">
        <v>53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18" hidden="false" customHeight="true" outlineLevel="0" collapsed="false">
      <c r="A2" s="17" t="s">
        <v>54</v>
      </c>
      <c r="B2" s="17"/>
      <c r="C2" s="18" t="n">
        <v>46160</v>
      </c>
      <c r="D2" s="19" t="s">
        <v>55</v>
      </c>
      <c r="E2" s="19"/>
      <c r="F2" s="19"/>
      <c r="G2" s="19"/>
      <c r="H2" s="19"/>
      <c r="I2" s="19"/>
      <c r="J2" s="19"/>
    </row>
    <row r="3" customFormat="false" ht="19.5" hidden="false" customHeight="true" outlineLevel="0" collapsed="false">
      <c r="A3" s="20" t="s">
        <v>56</v>
      </c>
      <c r="B3" s="20" t="s">
        <v>3</v>
      </c>
      <c r="C3" s="3" t="str">
        <f aca="false">IF($C$2="","Monday",TEXT($C$2+0,"ddd m/d"))</f>
        <v>Mon 5/18</v>
      </c>
      <c r="D3" s="3" t="str">
        <f aca="false">IF($C$2="","Tuesday",TEXT($C$2+1,"ddd m/d"))</f>
        <v>Tue 5/19</v>
      </c>
      <c r="E3" s="3" t="str">
        <f aca="false">IF($C$2="","Wednesday",TEXT($C$2+2,"ddd m/d"))</f>
        <v>Wed 5/20</v>
      </c>
      <c r="F3" s="3" t="str">
        <f aca="false">IF($C$2="","Thursday",TEXT($C$2+3,"ddd m/d"))</f>
        <v>Thu 5/21</v>
      </c>
      <c r="G3" s="3" t="str">
        <f aca="false">IF($C$2="","Friday",TEXT($C$2+4,"ddd m/d"))</f>
        <v>Fri 5/22</v>
      </c>
      <c r="H3" s="3" t="str">
        <f aca="false">IF($C$2="","Saturday",TEXT($C$2+5,"ddd m/d"))</f>
        <v>Sat 5/23</v>
      </c>
      <c r="I3" s="3" t="str">
        <f aca="false">IF($C$2="","Sunday",TEXT($C$2+6,"ddd m/d"))</f>
        <v>Sun 5/24</v>
      </c>
      <c r="J3" s="3" t="s">
        <v>57</v>
      </c>
    </row>
    <row r="4" customFormat="false" ht="24" hidden="false" customHeight="true" outlineLevel="0" collapsed="false">
      <c r="A4" s="21" t="s">
        <v>58</v>
      </c>
      <c r="B4" s="21"/>
      <c r="C4" s="21"/>
      <c r="D4" s="21"/>
      <c r="E4" s="21"/>
      <c r="F4" s="21"/>
      <c r="G4" s="21"/>
      <c r="H4" s="21"/>
      <c r="I4" s="21"/>
      <c r="J4" s="21"/>
    </row>
    <row r="5" customFormat="false" ht="19.5" hidden="false" customHeight="true" outlineLevel="0" collapsed="false">
      <c r="A5" s="4" t="s">
        <v>14</v>
      </c>
      <c r="B5" s="5" t="s">
        <v>15</v>
      </c>
      <c r="C5" s="5" t="str">
        <f aca="false">IF($C$2="","",IF(COUNTIFS('Time Off'!$C:$C,$A5,'Time Off'!$I:$I,"Approved",'Time Off'!$E:$E,"&lt;="&amp;($C$2+0),'Time Off'!$F:$F,"&gt;="&amp;($C$2+0))&gt;0,IFERROR(INDEX('Time Off'!$H:$H,MATCH(1,('Time Off'!$C:$C=$A5)*('Time Off'!$I:$I="Approved")*('Time Off'!$E:$E&lt;=($C$2+0))*('Time Off'!$F:$F&gt;=($C$2+0)),0)),"Time Off"),IFERROR(INDEX(Roster!$D:$J,MATCH($A5,Roster!$A:$A,0),WEEKDAY($C$2+0,2)),"OFF")))</f>
        <v>PTO</v>
      </c>
      <c r="D5" s="5" t="str">
        <f aca="false">IF($C$2="","",IF(COUNTIFS('Time Off'!$C:$C,$A5,'Time Off'!$I:$I,"Approved",'Time Off'!$E:$E,"&lt;="&amp;($C$2+1),'Time Off'!$F:$F,"&gt;="&amp;($C$2+1))&gt;0,IFERROR(INDEX('Time Off'!$H:$H,MATCH(1,('Time Off'!$C:$C=$A5)*('Time Off'!$I:$I="Approved")*('Time Off'!$E:$E&lt;=($C$2+1))*('Time Off'!$F:$F&gt;=($C$2+1)),0)),"Time Off"),IFERROR(INDEX(Roster!$D:$J,MATCH($A5,Roster!$A:$A,0),WEEKDAY($C$2+1,2)),"OFF")))</f>
        <v>9am–5pm</v>
      </c>
      <c r="E5" s="5" t="str">
        <f aca="false">IF($C$2="","",IF(COUNTIFS('Time Off'!$C:$C,$A5,'Time Off'!$I:$I,"Approved",'Time Off'!$E:$E,"&lt;="&amp;($C$2+2),'Time Off'!$F:$F,"&gt;="&amp;($C$2+2))&gt;0,IFERROR(INDEX('Time Off'!$H:$H,MATCH(1,('Time Off'!$C:$C=$A5)*('Time Off'!$I:$I="Approved")*('Time Off'!$E:$E&lt;=($C$2+2))*('Time Off'!$F:$F&gt;=($C$2+2)),0)),"Time Off"),IFERROR(INDEX(Roster!$D:$J,MATCH($A5,Roster!$A:$A,0),WEEKDAY($C$2+2,2)),"OFF")))</f>
        <v>9am–5pm</v>
      </c>
      <c r="F5" s="5" t="str">
        <f aca="false">IF($C$2="","",IF(COUNTIFS('Time Off'!$C:$C,$A5,'Time Off'!$I:$I,"Approved",'Time Off'!$E:$E,"&lt;="&amp;($C$2+3),'Time Off'!$F:$F,"&gt;="&amp;($C$2+3))&gt;0,IFERROR(INDEX('Time Off'!$H:$H,MATCH(1,('Time Off'!$C:$C=$A5)*('Time Off'!$I:$I="Approved")*('Time Off'!$E:$E&lt;=($C$2+3))*('Time Off'!$F:$F&gt;=($C$2+3)),0)),"Time Off"),IFERROR(INDEX(Roster!$D:$J,MATCH($A5,Roster!$A:$A,0),WEEKDAY($C$2+3,2)),"OFF")))</f>
        <v>9am–5pm</v>
      </c>
      <c r="G5" s="5" t="str">
        <f aca="false">IF($C$2="","",IF(COUNTIFS('Time Off'!$C:$C,$A5,'Time Off'!$I:$I,"Approved",'Time Off'!$E:$E,"&lt;="&amp;($C$2+4),'Time Off'!$F:$F,"&gt;="&amp;($C$2+4))&gt;0,IFERROR(INDEX('Time Off'!$H:$H,MATCH(1,('Time Off'!$C:$C=$A5)*('Time Off'!$I:$I="Approved")*('Time Off'!$E:$E&lt;=($C$2+4))*('Time Off'!$F:$F&gt;=($C$2+4)),0)),"Time Off"),IFERROR(INDEX(Roster!$D:$J,MATCH($A5,Roster!$A:$A,0),WEEKDAY($C$2+4,2)),"OFF")))</f>
        <v>9am–5pm</v>
      </c>
      <c r="H5" s="5" t="str">
        <f aca="false">IF($C$2="","",IF(COUNTIFS('Time Off'!$C:$C,$A5,'Time Off'!$I:$I,"Approved",'Time Off'!$E:$E,"&lt;="&amp;($C$2+5),'Time Off'!$F:$F,"&gt;="&amp;($C$2+5))&gt;0,IFERROR(INDEX('Time Off'!$H:$H,MATCH(1,('Time Off'!$C:$C=$A5)*('Time Off'!$I:$I="Approved")*('Time Off'!$E:$E&lt;=($C$2+5))*('Time Off'!$F:$F&gt;=($C$2+5)),0)),"Time Off"),IFERROR(INDEX(Roster!$D:$J,MATCH($A5,Roster!$A:$A,0),WEEKDAY($C$2+5,2)),"OFF")))</f>
        <v>OFF</v>
      </c>
      <c r="I5" s="5" t="str">
        <f aca="false">IF($C$2="","",IF(COUNTIFS('Time Off'!$C:$C,$A5,'Time Off'!$I:$I,"Approved",'Time Off'!$E:$E,"&lt;="&amp;($C$2+6),'Time Off'!$F:$F,"&gt;="&amp;($C$2+6))&gt;0,IFERROR(INDEX('Time Off'!$H:$H,MATCH(1,('Time Off'!$C:$C=$A5)*('Time Off'!$I:$I="Approved")*('Time Off'!$E:$E&lt;=($C$2+6))*('Time Off'!$F:$F&gt;=($C$2+6)),0)),"Time Off"),IFERROR(INDEX(Roster!$D:$J,MATCH($A5,Roster!$A:$A,0),WEEKDAY($C$2+6,2)),"OFF")))</f>
        <v>OFF</v>
      </c>
      <c r="J5" s="22" t="n">
        <f aca="false">IFERROR(INDEX(Roster!$K:$K,MATCH($A5,Roster!$A:$A,0)),0)-COUNTIF(C5:I5,"Time Off")*8-COUNTIF(C5:I5,"Sick")*8-COUNTIF(C5:I5,"Vacation")*8-COUNTIF(C5:I5,"Personal")*8-COUNTIF(C5:I5,"PTO")*8</f>
        <v>32</v>
      </c>
    </row>
    <row r="6" customFormat="false" ht="19.5" hidden="false" customHeight="true" outlineLevel="0" collapsed="false">
      <c r="A6" s="4" t="s">
        <v>19</v>
      </c>
      <c r="B6" s="5" t="s">
        <v>15</v>
      </c>
      <c r="C6" s="5" t="str">
        <f aca="false">IF($C$2="","",IF(COUNTIFS('Time Off'!$C:$C,$A6,'Time Off'!$I:$I,"Approved",'Time Off'!$E:$E,"&lt;="&amp;($C$2+0),'Time Off'!$F:$F,"&gt;="&amp;($C$2+0))&gt;0,IFERROR(INDEX('Time Off'!$H:$H,MATCH(1,('Time Off'!$C:$C=$A6)*('Time Off'!$I:$I="Approved")*('Time Off'!$E:$E&lt;=($C$2+0))*('Time Off'!$F:$F&gt;=($C$2+0)),0)),"Time Off"),IFERROR(INDEX(Roster!$D:$J,MATCH($A6,Roster!$A:$A,0),WEEKDAY($C$2+0,2)),"OFF")))</f>
        <v>10am–6pm</v>
      </c>
      <c r="D6" s="5" t="str">
        <f aca="false">IF($C$2="","",IF(COUNTIFS('Time Off'!$C:$C,$A6,'Time Off'!$I:$I,"Approved",'Time Off'!$E:$E,"&lt;="&amp;($C$2+1),'Time Off'!$F:$F,"&gt;="&amp;($C$2+1))&gt;0,IFERROR(INDEX('Time Off'!$H:$H,MATCH(1,('Time Off'!$C:$C=$A6)*('Time Off'!$I:$I="Approved")*('Time Off'!$E:$E&lt;=($C$2+1))*('Time Off'!$F:$F&gt;=($C$2+1)),0)),"Time Off"),IFERROR(INDEX(Roster!$D:$J,MATCH($A6,Roster!$A:$A,0),WEEKDAY($C$2+1,2)),"OFF")))</f>
        <v>10am–6pm</v>
      </c>
      <c r="E6" s="5" t="str">
        <f aca="false">IF($C$2="","",IF(COUNTIFS('Time Off'!$C:$C,$A6,'Time Off'!$I:$I,"Approved",'Time Off'!$E:$E,"&lt;="&amp;($C$2+2),'Time Off'!$F:$F,"&gt;="&amp;($C$2+2))&gt;0,IFERROR(INDEX('Time Off'!$H:$H,MATCH(1,('Time Off'!$C:$C=$A6)*('Time Off'!$I:$I="Approved")*('Time Off'!$E:$E&lt;=($C$2+2))*('Time Off'!$F:$F&gt;=($C$2+2)),0)),"Time Off"),IFERROR(INDEX(Roster!$D:$J,MATCH($A6,Roster!$A:$A,0),WEEKDAY($C$2+2,2)),"OFF")))</f>
        <v>10am–6pm</v>
      </c>
      <c r="F6" s="5" t="str">
        <f aca="false">IF($C$2="","",IF(COUNTIFS('Time Off'!$C:$C,$A6,'Time Off'!$I:$I,"Approved",'Time Off'!$E:$E,"&lt;="&amp;($C$2+3),'Time Off'!$F:$F,"&gt;="&amp;($C$2+3))&gt;0,IFERROR(INDEX('Time Off'!$H:$H,MATCH(1,('Time Off'!$C:$C=$A6)*('Time Off'!$I:$I="Approved")*('Time Off'!$E:$E&lt;=($C$2+3))*('Time Off'!$F:$F&gt;=($C$2+3)),0)),"Time Off"),IFERROR(INDEX(Roster!$D:$J,MATCH($A6,Roster!$A:$A,0),WEEKDAY($C$2+3,2)),"OFF")))</f>
        <v>10am–6pm</v>
      </c>
      <c r="G6" s="5" t="str">
        <f aca="false">IF($C$2="","",IF(COUNTIFS('Time Off'!$C:$C,$A6,'Time Off'!$I:$I,"Approved",'Time Off'!$E:$E,"&lt;="&amp;($C$2+4),'Time Off'!$F:$F,"&gt;="&amp;($C$2+4))&gt;0,IFERROR(INDEX('Time Off'!$H:$H,MATCH(1,('Time Off'!$C:$C=$A6)*('Time Off'!$I:$I="Approved")*('Time Off'!$E:$E&lt;=($C$2+4))*('Time Off'!$F:$F&gt;=($C$2+4)),0)),"Time Off"),IFERROR(INDEX(Roster!$D:$J,MATCH($A6,Roster!$A:$A,0),WEEKDAY($C$2+4,2)),"OFF")))</f>
        <v>10am–6pm</v>
      </c>
      <c r="H6" s="5" t="str">
        <f aca="false">IF($C$2="","",IF(COUNTIFS('Time Off'!$C:$C,$A6,'Time Off'!$I:$I,"Approved",'Time Off'!$E:$E,"&lt;="&amp;($C$2+5),'Time Off'!$F:$F,"&gt;="&amp;($C$2+5))&gt;0,IFERROR(INDEX('Time Off'!$H:$H,MATCH(1,('Time Off'!$C:$C=$A6)*('Time Off'!$I:$I="Approved")*('Time Off'!$E:$E&lt;=($C$2+5))*('Time Off'!$F:$F&gt;=($C$2+5)),0)),"Time Off"),IFERROR(INDEX(Roster!$D:$J,MATCH($A6,Roster!$A:$A,0),WEEKDAY($C$2+5,2)),"OFF")))</f>
        <v>OFF</v>
      </c>
      <c r="I6" s="5" t="str">
        <f aca="false">IF($C$2="","",IF(COUNTIFS('Time Off'!$C:$C,$A6,'Time Off'!$I:$I,"Approved",'Time Off'!$E:$E,"&lt;="&amp;($C$2+6),'Time Off'!$F:$F,"&gt;="&amp;($C$2+6))&gt;0,IFERROR(INDEX('Time Off'!$H:$H,MATCH(1,('Time Off'!$C:$C=$A6)*('Time Off'!$I:$I="Approved")*('Time Off'!$E:$E&lt;=($C$2+6))*('Time Off'!$F:$F&gt;=($C$2+6)),0)),"Time Off"),IFERROR(INDEX(Roster!$D:$J,MATCH($A6,Roster!$A:$A,0),WEEKDAY($C$2+6,2)),"OFF")))</f>
        <v>OFF</v>
      </c>
      <c r="J6" s="22" t="n">
        <f aca="false">IFERROR(INDEX(Roster!$K:$K,MATCH($A6,Roster!$A:$A,0)),0)-COUNTIF(C6:I6,"Time Off")*8-COUNTIF(C6:I6,"Sick")*8-COUNTIF(C6:I6,"Vacation")*8-COUNTIF(C6:I6,"Personal")*8-COUNTIF(C6:I6,"PTO")*8</f>
        <v>40</v>
      </c>
    </row>
    <row r="7" customFormat="false" ht="19.5" hidden="false" customHeight="true" outlineLevel="0" collapsed="false">
      <c r="A7" s="4" t="s">
        <v>21</v>
      </c>
      <c r="B7" s="5" t="s">
        <v>15</v>
      </c>
      <c r="C7" s="5" t="str">
        <f aca="false">IF($C$2="","",IF(COUNTIFS('Time Off'!$C:$C,$A7,'Time Off'!$I:$I,"Approved",'Time Off'!$E:$E,"&lt;="&amp;($C$2+0),'Time Off'!$F:$F,"&gt;="&amp;($C$2+0))&gt;0,IFERROR(INDEX('Time Off'!$H:$H,MATCH(1,('Time Off'!$C:$C=$A7)*('Time Off'!$I:$I="Approved")*('Time Off'!$E:$E&lt;=($C$2+0))*('Time Off'!$F:$F&gt;=($C$2+0)),0)),"Time Off"),IFERROR(INDEX(Roster!$D:$J,MATCH($A7,Roster!$A:$A,0),WEEKDAY($C$2+0,2)),"OFF")))</f>
        <v>9am–2pm</v>
      </c>
      <c r="D7" s="5" t="str">
        <f aca="false">IF($C$2="","",IF(COUNTIFS('Time Off'!$C:$C,$A7,'Time Off'!$I:$I,"Approved",'Time Off'!$E:$E,"&lt;="&amp;($C$2+1),'Time Off'!$F:$F,"&gt;="&amp;($C$2+1))&gt;0,IFERROR(INDEX('Time Off'!$H:$H,MATCH(1,('Time Off'!$C:$C=$A7)*('Time Off'!$I:$I="Approved")*('Time Off'!$E:$E&lt;=($C$2+1))*('Time Off'!$F:$F&gt;=($C$2+1)),0)),"Time Off"),IFERROR(INDEX(Roster!$D:$J,MATCH($A7,Roster!$A:$A,0),WEEKDAY($C$2+1,2)),"OFF")))</f>
        <v>9am–2pm</v>
      </c>
      <c r="E7" s="5" t="str">
        <f aca="false">IF($C$2="","",IF(COUNTIFS('Time Off'!$C:$C,$A7,'Time Off'!$I:$I,"Approved",'Time Off'!$E:$E,"&lt;="&amp;($C$2+2),'Time Off'!$F:$F,"&gt;="&amp;($C$2+2))&gt;0,IFERROR(INDEX('Time Off'!$H:$H,MATCH(1,('Time Off'!$C:$C=$A7)*('Time Off'!$I:$I="Approved")*('Time Off'!$E:$E&lt;=($C$2+2))*('Time Off'!$F:$F&gt;=($C$2+2)),0)),"Time Off"),IFERROR(INDEX(Roster!$D:$J,MATCH($A7,Roster!$A:$A,0),WEEKDAY($C$2+2,2)),"OFF")))</f>
        <v>9am–2pm</v>
      </c>
      <c r="F7" s="5" t="str">
        <f aca="false">IF($C$2="","",IF(COUNTIFS('Time Off'!$C:$C,$A7,'Time Off'!$I:$I,"Approved",'Time Off'!$E:$E,"&lt;="&amp;($C$2+3),'Time Off'!$F:$F,"&gt;="&amp;($C$2+3))&gt;0,IFERROR(INDEX('Time Off'!$H:$H,MATCH(1,('Time Off'!$C:$C=$A7)*('Time Off'!$I:$I="Approved")*('Time Off'!$E:$E&lt;=($C$2+3))*('Time Off'!$F:$F&gt;=($C$2+3)),0)),"Time Off"),IFERROR(INDEX(Roster!$D:$J,MATCH($A7,Roster!$A:$A,0),WEEKDAY($C$2+3,2)),"OFF")))</f>
        <v>9am–2pm</v>
      </c>
      <c r="G7" s="5" t="str">
        <f aca="false">IF($C$2="","",IF(COUNTIFS('Time Off'!$C:$C,$A7,'Time Off'!$I:$I,"Approved",'Time Off'!$E:$E,"&lt;="&amp;($C$2+4),'Time Off'!$F:$F,"&gt;="&amp;($C$2+4))&gt;0,IFERROR(INDEX('Time Off'!$H:$H,MATCH(1,('Time Off'!$C:$C=$A7)*('Time Off'!$I:$I="Approved")*('Time Off'!$E:$E&lt;=($C$2+4))*('Time Off'!$F:$F&gt;=($C$2+4)),0)),"Time Off"),IFERROR(INDEX(Roster!$D:$J,MATCH($A7,Roster!$A:$A,0),WEEKDAY($C$2+4,2)),"OFF")))</f>
        <v>9am–2pm</v>
      </c>
      <c r="H7" s="5" t="str">
        <f aca="false">IF($C$2="","",IF(COUNTIFS('Time Off'!$C:$C,$A7,'Time Off'!$I:$I,"Approved",'Time Off'!$E:$E,"&lt;="&amp;($C$2+5),'Time Off'!$F:$F,"&gt;="&amp;($C$2+5))&gt;0,IFERROR(INDEX('Time Off'!$H:$H,MATCH(1,('Time Off'!$C:$C=$A7)*('Time Off'!$I:$I="Approved")*('Time Off'!$E:$E&lt;=($C$2+5))*('Time Off'!$F:$F&gt;=($C$2+5)),0)),"Time Off"),IFERROR(INDEX(Roster!$D:$J,MATCH($A7,Roster!$A:$A,0),WEEKDAY($C$2+5,2)),"OFF")))</f>
        <v>OFF</v>
      </c>
      <c r="I7" s="5" t="str">
        <f aca="false">IF($C$2="","",IF(COUNTIFS('Time Off'!$C:$C,$A7,'Time Off'!$I:$I,"Approved",'Time Off'!$E:$E,"&lt;="&amp;($C$2+6),'Time Off'!$F:$F,"&gt;="&amp;($C$2+6))&gt;0,IFERROR(INDEX('Time Off'!$H:$H,MATCH(1,('Time Off'!$C:$C=$A7)*('Time Off'!$I:$I="Approved")*('Time Off'!$E:$E&lt;=($C$2+6))*('Time Off'!$F:$F&gt;=($C$2+6)),0)),"Time Off"),IFERROR(INDEX(Roster!$D:$J,MATCH($A7,Roster!$A:$A,0),WEEKDAY($C$2+6,2)),"OFF")))</f>
        <v>OFF</v>
      </c>
      <c r="J7" s="22" t="n">
        <f aca="false">IFERROR(INDEX(Roster!$K:$K,MATCH($A7,Roster!$A:$A,0)),0)-COUNTIF(C7:I7,"Time Off")*8-COUNTIF(C7:I7,"Sick")*8-COUNTIF(C7:I7,"Vacation")*8-COUNTIF(C7:I7,"Personal")*8-COUNTIF(C7:I7,"PTO")*8</f>
        <v>25</v>
      </c>
    </row>
    <row r="8" customFormat="false" ht="19.5" hidden="false" customHeight="true" outlineLevel="0" collapsed="false">
      <c r="A8" s="4" t="s">
        <v>24</v>
      </c>
      <c r="B8" s="5" t="s">
        <v>15</v>
      </c>
      <c r="C8" s="5" t="str">
        <f aca="false">IF($C$2="","",IF(COUNTIFS('Time Off'!$C:$C,$A8,'Time Off'!$I:$I,"Approved",'Time Off'!$E:$E,"&lt;="&amp;($C$2+0),'Time Off'!$F:$F,"&gt;="&amp;($C$2+0))&gt;0,IFERROR(INDEX('Time Off'!$H:$H,MATCH(1,('Time Off'!$C:$C=$A8)*('Time Off'!$I:$I="Approved")*('Time Off'!$E:$E&lt;=($C$2+0))*('Time Off'!$F:$F&gt;=($C$2+0)),0)),"Time Off"),IFERROR(INDEX(Roster!$D:$J,MATCH($A8,Roster!$A:$A,0),WEEKDAY($C$2+0,2)),"OFF")))</f>
        <v>OFF</v>
      </c>
      <c r="D8" s="5" t="str">
        <f aca="false">IF($C$2="","",IF(COUNTIFS('Time Off'!$C:$C,$A8,'Time Off'!$I:$I,"Approved",'Time Off'!$E:$E,"&lt;="&amp;($C$2+1),'Time Off'!$F:$F,"&gt;="&amp;($C$2+1))&gt;0,IFERROR(INDEX('Time Off'!$H:$H,MATCH(1,('Time Off'!$C:$C=$A8)*('Time Off'!$I:$I="Approved")*('Time Off'!$E:$E&lt;=($C$2+1))*('Time Off'!$F:$F&gt;=($C$2+1)),0)),"Time Off"),IFERROR(INDEX(Roster!$D:$J,MATCH($A8,Roster!$A:$A,0),WEEKDAY($C$2+1,2)),"OFF")))</f>
        <v>9am–5pm</v>
      </c>
      <c r="E8" s="5" t="str">
        <f aca="false">IF($C$2="","",IF(COUNTIFS('Time Off'!$C:$C,$A8,'Time Off'!$I:$I,"Approved",'Time Off'!$E:$E,"&lt;="&amp;($C$2+2),'Time Off'!$F:$F,"&gt;="&amp;($C$2+2))&gt;0,IFERROR(INDEX('Time Off'!$H:$H,MATCH(1,('Time Off'!$C:$C=$A8)*('Time Off'!$I:$I="Approved")*('Time Off'!$E:$E&lt;=($C$2+2))*('Time Off'!$F:$F&gt;=($C$2+2)),0)),"Time Off"),IFERROR(INDEX(Roster!$D:$J,MATCH($A8,Roster!$A:$A,0),WEEKDAY($C$2+2,2)),"OFF")))</f>
        <v>9am–5pm</v>
      </c>
      <c r="F8" s="5" t="str">
        <f aca="false">IF($C$2="","",IF(COUNTIFS('Time Off'!$C:$C,$A8,'Time Off'!$I:$I,"Approved",'Time Off'!$E:$E,"&lt;="&amp;($C$2+3),'Time Off'!$F:$F,"&gt;="&amp;($C$2+3))&gt;0,IFERROR(INDEX('Time Off'!$H:$H,MATCH(1,('Time Off'!$C:$C=$A8)*('Time Off'!$I:$I="Approved")*('Time Off'!$E:$E&lt;=($C$2+3))*('Time Off'!$F:$F&gt;=($C$2+3)),0)),"Time Off"),IFERROR(INDEX(Roster!$D:$J,MATCH($A8,Roster!$A:$A,0),WEEKDAY($C$2+3,2)),"OFF")))</f>
        <v>9am–5pm</v>
      </c>
      <c r="G8" s="5" t="str">
        <f aca="false">IF($C$2="","",IF(COUNTIFS('Time Off'!$C:$C,$A8,'Time Off'!$I:$I,"Approved",'Time Off'!$E:$E,"&lt;="&amp;($C$2+4),'Time Off'!$F:$F,"&gt;="&amp;($C$2+4))&gt;0,IFERROR(INDEX('Time Off'!$H:$H,MATCH(1,('Time Off'!$C:$C=$A8)*('Time Off'!$I:$I="Approved")*('Time Off'!$E:$E&lt;=($C$2+4))*('Time Off'!$F:$F&gt;=($C$2+4)),0)),"Time Off"),IFERROR(INDEX(Roster!$D:$J,MATCH($A8,Roster!$A:$A,0),WEEKDAY($C$2+4,2)),"OFF")))</f>
        <v>9am–5pm</v>
      </c>
      <c r="H8" s="5" t="str">
        <f aca="false">IF($C$2="","",IF(COUNTIFS('Time Off'!$C:$C,$A8,'Time Off'!$I:$I,"Approved",'Time Off'!$E:$E,"&lt;="&amp;($C$2+5),'Time Off'!$F:$F,"&gt;="&amp;($C$2+5))&gt;0,IFERROR(INDEX('Time Off'!$H:$H,MATCH(1,('Time Off'!$C:$C=$A8)*('Time Off'!$I:$I="Approved")*('Time Off'!$E:$E&lt;=($C$2+5))*('Time Off'!$F:$F&gt;=($C$2+5)),0)),"Time Off"),IFERROR(INDEX(Roster!$D:$J,MATCH($A8,Roster!$A:$A,0),WEEKDAY($C$2+5,2)),"OFF")))</f>
        <v>9am–5pm</v>
      </c>
      <c r="I8" s="5" t="str">
        <f aca="false">IF($C$2="","",IF(COUNTIFS('Time Off'!$C:$C,$A8,'Time Off'!$I:$I,"Approved",'Time Off'!$E:$E,"&lt;="&amp;($C$2+6),'Time Off'!$F:$F,"&gt;="&amp;($C$2+6))&gt;0,IFERROR(INDEX('Time Off'!$H:$H,MATCH(1,('Time Off'!$C:$C=$A8)*('Time Off'!$I:$I="Approved")*('Time Off'!$E:$E&lt;=($C$2+6))*('Time Off'!$F:$F&gt;=($C$2+6)),0)),"Time Off"),IFERROR(INDEX(Roster!$D:$J,MATCH($A8,Roster!$A:$A,0),WEEKDAY($C$2+6,2)),"OFF")))</f>
        <v>OFF</v>
      </c>
      <c r="J8" s="22" t="n">
        <f aca="false">IFERROR(INDEX(Roster!$K:$K,MATCH($A8,Roster!$A:$A,0)),0)-COUNTIF(C8:I8,"Time Off")*8-COUNTIF(C8:I8,"Sick")*8-COUNTIF(C8:I8,"Vacation")*8-COUNTIF(C8:I8,"Personal")*8-COUNTIF(C8:I8,"PTO")*8</f>
        <v>40</v>
      </c>
    </row>
    <row r="9" customFormat="false" ht="19.5" hidden="false" customHeight="true" outlineLevel="0" collapsed="false">
      <c r="A9" s="4" t="s">
        <v>25</v>
      </c>
      <c r="B9" s="5" t="s">
        <v>15</v>
      </c>
      <c r="C9" s="5" t="str">
        <f aca="false">IF($C$2="","",IF(COUNTIFS('Time Off'!$C:$C,$A9,'Time Off'!$I:$I,"Approved",'Time Off'!$E:$E,"&lt;="&amp;($C$2+0),'Time Off'!$F:$F,"&gt;="&amp;($C$2+0))&gt;0,IFERROR(INDEX('Time Off'!$H:$H,MATCH(1,('Time Off'!$C:$C=$A9)*('Time Off'!$I:$I="Approved")*('Time Off'!$E:$E&lt;=($C$2+0))*('Time Off'!$F:$F&gt;=($C$2+0)),0)),"Time Off"),IFERROR(INDEX(Roster!$D:$J,MATCH($A9,Roster!$A:$A,0),WEEKDAY($C$2+0,2)),"OFF")))</f>
        <v>1pm–9pm</v>
      </c>
      <c r="D9" s="5" t="str">
        <f aca="false">IF($C$2="","",IF(COUNTIFS('Time Off'!$C:$C,$A9,'Time Off'!$I:$I,"Approved",'Time Off'!$E:$E,"&lt;="&amp;($C$2+1),'Time Off'!$F:$F,"&gt;="&amp;($C$2+1))&gt;0,IFERROR(INDEX('Time Off'!$H:$H,MATCH(1,('Time Off'!$C:$C=$A9)*('Time Off'!$I:$I="Approved")*('Time Off'!$E:$E&lt;=($C$2+1))*('Time Off'!$F:$F&gt;=($C$2+1)),0)),"Time Off"),IFERROR(INDEX(Roster!$D:$J,MATCH($A9,Roster!$A:$A,0),WEEKDAY($C$2+1,2)),"OFF")))</f>
        <v>1pm–9pm</v>
      </c>
      <c r="E9" s="5" t="str">
        <f aca="false">IF($C$2="","",IF(COUNTIFS('Time Off'!$C:$C,$A9,'Time Off'!$I:$I,"Approved",'Time Off'!$E:$E,"&lt;="&amp;($C$2+2),'Time Off'!$F:$F,"&gt;="&amp;($C$2+2))&gt;0,IFERROR(INDEX('Time Off'!$H:$H,MATCH(1,('Time Off'!$C:$C=$A9)*('Time Off'!$I:$I="Approved")*('Time Off'!$E:$E&lt;=($C$2+2))*('Time Off'!$F:$F&gt;=($C$2+2)),0)),"Time Off"),IFERROR(INDEX(Roster!$D:$J,MATCH($A9,Roster!$A:$A,0),WEEKDAY($C$2+2,2)),"OFF")))</f>
        <v>1pm–9pm</v>
      </c>
      <c r="F9" s="5" t="str">
        <f aca="false">IF($C$2="","",IF(COUNTIFS('Time Off'!$C:$C,$A9,'Time Off'!$I:$I,"Approved",'Time Off'!$E:$E,"&lt;="&amp;($C$2+3),'Time Off'!$F:$F,"&gt;="&amp;($C$2+3))&gt;0,IFERROR(INDEX('Time Off'!$H:$H,MATCH(1,('Time Off'!$C:$C=$A9)*('Time Off'!$I:$I="Approved")*('Time Off'!$E:$E&lt;=($C$2+3))*('Time Off'!$F:$F&gt;=($C$2+3)),0)),"Time Off"),IFERROR(INDEX(Roster!$D:$J,MATCH($A9,Roster!$A:$A,0),WEEKDAY($C$2+3,2)),"OFF")))</f>
        <v>1pm–9pm</v>
      </c>
      <c r="G9" s="5" t="str">
        <f aca="false">IF($C$2="","",IF(COUNTIFS('Time Off'!$C:$C,$A9,'Time Off'!$I:$I,"Approved",'Time Off'!$E:$E,"&lt;="&amp;($C$2+4),'Time Off'!$F:$F,"&gt;="&amp;($C$2+4))&gt;0,IFERROR(INDEX('Time Off'!$H:$H,MATCH(1,('Time Off'!$C:$C=$A9)*('Time Off'!$I:$I="Approved")*('Time Off'!$E:$E&lt;=($C$2+4))*('Time Off'!$F:$F&gt;=($C$2+4)),0)),"Time Off"),IFERROR(INDEX(Roster!$D:$J,MATCH($A9,Roster!$A:$A,0),WEEKDAY($C$2+4,2)),"OFF")))</f>
        <v>1pm–9pm</v>
      </c>
      <c r="H9" s="5" t="str">
        <f aca="false">IF($C$2="","",IF(COUNTIFS('Time Off'!$C:$C,$A9,'Time Off'!$I:$I,"Approved",'Time Off'!$E:$E,"&lt;="&amp;($C$2+5),'Time Off'!$F:$F,"&gt;="&amp;($C$2+5))&gt;0,IFERROR(INDEX('Time Off'!$H:$H,MATCH(1,('Time Off'!$C:$C=$A9)*('Time Off'!$I:$I="Approved")*('Time Off'!$E:$E&lt;=($C$2+5))*('Time Off'!$F:$F&gt;=($C$2+5)),0)),"Time Off"),IFERROR(INDEX(Roster!$D:$J,MATCH($A9,Roster!$A:$A,0),WEEKDAY($C$2+5,2)),"OFF")))</f>
        <v>OFF</v>
      </c>
      <c r="I9" s="5" t="str">
        <f aca="false">IF($C$2="","",IF(COUNTIFS('Time Off'!$C:$C,$A9,'Time Off'!$I:$I,"Approved",'Time Off'!$E:$E,"&lt;="&amp;($C$2+6),'Time Off'!$F:$F,"&gt;="&amp;($C$2+6))&gt;0,IFERROR(INDEX('Time Off'!$H:$H,MATCH(1,('Time Off'!$C:$C=$A9)*('Time Off'!$I:$I="Approved")*('Time Off'!$E:$E&lt;=($C$2+6))*('Time Off'!$F:$F&gt;=($C$2+6)),0)),"Time Off"),IFERROR(INDEX(Roster!$D:$J,MATCH($A9,Roster!$A:$A,0),WEEKDAY($C$2+6,2)),"OFF")))</f>
        <v>OFF</v>
      </c>
      <c r="J9" s="22" t="n">
        <f aca="false">IFERROR(INDEX(Roster!$K:$K,MATCH($A9,Roster!$A:$A,0)),0)-COUNTIF(C9:I9,"Time Off")*8-COUNTIF(C9:I9,"Sick")*8-COUNTIF(C9:I9,"Vacation")*8-COUNTIF(C9:I9,"Personal")*8-COUNTIF(C9:I9,"PTO")*8</f>
        <v>40</v>
      </c>
    </row>
    <row r="10" customFormat="false" ht="19.5" hidden="false" customHeight="true" outlineLevel="0" collapsed="false">
      <c r="A10" s="23" t="s">
        <v>59</v>
      </c>
      <c r="B10" s="23"/>
      <c r="C10" s="24" t="n">
        <f aca="false">COUNTIFS(B5:B9,"Support",C5:C9,"&lt;&gt;TIME OFF",C5:C9,"&lt;&gt;OFF",C5:C9,"&lt;&gt;")</f>
        <v>4</v>
      </c>
      <c r="D10" s="24" t="n">
        <f aca="false">COUNTIFS(B5:B9,"Support",D5:D9,"&lt;&gt;TIME OFF",D5:D9,"&lt;&gt;OFF",D5:D9,"&lt;&gt;")</f>
        <v>5</v>
      </c>
      <c r="E10" s="24" t="n">
        <f aca="false">COUNTIFS(B5:B9,"Support",E5:E9,"&lt;&gt;TIME OFF",E5:E9,"&lt;&gt;OFF",E5:E9,"&lt;&gt;")</f>
        <v>5</v>
      </c>
      <c r="F10" s="24" t="n">
        <f aca="false">COUNTIFS(B5:B9,"Support",F5:F9,"&lt;&gt;TIME OFF",F5:F9,"&lt;&gt;OFF",F5:F9,"&lt;&gt;")</f>
        <v>5</v>
      </c>
      <c r="G10" s="24" t="n">
        <f aca="false">COUNTIFS(B5:B9,"Support",G5:G9,"&lt;&gt;TIME OFF",G5:G9,"&lt;&gt;OFF",G5:G9,"&lt;&gt;")</f>
        <v>5</v>
      </c>
      <c r="H10" s="24" t="n">
        <f aca="false">COUNTIFS(B5:B9,"Support",H5:H9,"&lt;&gt;TIME OFF",H5:H9,"&lt;&gt;OFF",H5:H9,"&lt;&gt;")</f>
        <v>1</v>
      </c>
      <c r="I10" s="24" t="n">
        <f aca="false">COUNTIFS(B5:B9,"Support",I5:I9,"&lt;&gt;TIME OFF",I5:I9,"&lt;&gt;OFF",I5:I9,"&lt;&gt;")</f>
        <v>0</v>
      </c>
      <c r="J10" s="25"/>
    </row>
    <row r="11" customFormat="false" ht="9.75" hidden="false" customHeight="true" outlineLevel="0" collapsed="false">
      <c r="A11" s="26"/>
      <c r="B11" s="26"/>
      <c r="C11" s="26"/>
      <c r="D11" s="26"/>
      <c r="E11" s="26"/>
      <c r="F11" s="26"/>
      <c r="G11" s="26"/>
      <c r="H11" s="26"/>
      <c r="I11" s="26"/>
      <c r="J11" s="26"/>
    </row>
    <row r="12" customFormat="false" ht="24" hidden="false" customHeight="true" outlineLevel="0" collapsed="false">
      <c r="A12" s="27" t="s">
        <v>60</v>
      </c>
      <c r="B12" s="27"/>
      <c r="C12" s="27"/>
      <c r="D12" s="27"/>
      <c r="E12" s="27"/>
      <c r="F12" s="27"/>
      <c r="G12" s="27"/>
      <c r="H12" s="27"/>
      <c r="I12" s="27"/>
      <c r="J12" s="27"/>
    </row>
    <row r="13" customFormat="false" ht="19.5" hidden="false" customHeight="true" outlineLevel="0" collapsed="false">
      <c r="A13" s="7" t="s">
        <v>27</v>
      </c>
      <c r="B13" s="8" t="s">
        <v>28</v>
      </c>
      <c r="C13" s="8" t="str">
        <f aca="false">IF($C$2="","",IF(COUNTIFS('Time Off'!$C:$C,$A13,'Time Off'!$I:$I,"Approved",'Time Off'!$E:$E,"&lt;="&amp;($C$2+0),'Time Off'!$F:$F,"&gt;="&amp;($C$2+0))&gt;0,IFERROR(INDEX('Time Off'!$H:$H,MATCH(1,('Time Off'!$C:$C=$A13)*('Time Off'!$I:$I="Approved")*('Time Off'!$E:$E&lt;=($C$2+0))*('Time Off'!$F:$F&gt;=($C$2+0)),0)),"Time Off"),IFERROR(INDEX(Roster!$D:$J,MATCH($A13,Roster!$A:$A,0),WEEKDAY($C$2+0,2)),"OFF")))</f>
        <v>9am–5pm</v>
      </c>
      <c r="D13" s="8" t="str">
        <f aca="false">IF($C$2="","",IF(COUNTIFS('Time Off'!$C:$C,$A13,'Time Off'!$I:$I,"Approved",'Time Off'!$E:$E,"&lt;="&amp;($C$2+1),'Time Off'!$F:$F,"&gt;="&amp;($C$2+1))&gt;0,IFERROR(INDEX('Time Off'!$H:$H,MATCH(1,('Time Off'!$C:$C=$A13)*('Time Off'!$I:$I="Approved")*('Time Off'!$E:$E&lt;=($C$2+1))*('Time Off'!$F:$F&gt;=($C$2+1)),0)),"Time Off"),IFERROR(INDEX(Roster!$D:$J,MATCH($A13,Roster!$A:$A,0),WEEKDAY($C$2+1,2)),"OFF")))</f>
        <v>PTO</v>
      </c>
      <c r="E13" s="8" t="str">
        <f aca="false">IF($C$2="","",IF(COUNTIFS('Time Off'!$C:$C,$A13,'Time Off'!$I:$I,"Approved",'Time Off'!$E:$E,"&lt;="&amp;($C$2+2),'Time Off'!$F:$F,"&gt;="&amp;($C$2+2))&gt;0,IFERROR(INDEX('Time Off'!$H:$H,MATCH(1,('Time Off'!$C:$C=$A13)*('Time Off'!$I:$I="Approved")*('Time Off'!$E:$E&lt;=($C$2+2))*('Time Off'!$F:$F&gt;=($C$2+2)),0)),"Time Off"),IFERROR(INDEX(Roster!$D:$J,MATCH($A13,Roster!$A:$A,0),WEEKDAY($C$2+2,2)),"OFF")))</f>
        <v>9am–5pm</v>
      </c>
      <c r="F13" s="8" t="str">
        <f aca="false">IF($C$2="","",IF(COUNTIFS('Time Off'!$C:$C,$A13,'Time Off'!$I:$I,"Approved",'Time Off'!$E:$E,"&lt;="&amp;($C$2+3),'Time Off'!$F:$F,"&gt;="&amp;($C$2+3))&gt;0,IFERROR(INDEX('Time Off'!$H:$H,MATCH(1,('Time Off'!$C:$C=$A13)*('Time Off'!$I:$I="Approved")*('Time Off'!$E:$E&lt;=($C$2+3))*('Time Off'!$F:$F&gt;=($C$2+3)),0)),"Time Off"),IFERROR(INDEX(Roster!$D:$J,MATCH($A13,Roster!$A:$A,0),WEEKDAY($C$2+3,2)),"OFF")))</f>
        <v>9am–5pm</v>
      </c>
      <c r="G13" s="8" t="str">
        <f aca="false">IF($C$2="","",IF(COUNTIFS('Time Off'!$C:$C,$A13,'Time Off'!$I:$I,"Approved",'Time Off'!$E:$E,"&lt;="&amp;($C$2+4),'Time Off'!$F:$F,"&gt;="&amp;($C$2+4))&gt;0,IFERROR(INDEX('Time Off'!$H:$H,MATCH(1,('Time Off'!$C:$C=$A13)*('Time Off'!$I:$I="Approved")*('Time Off'!$E:$E&lt;=($C$2+4))*('Time Off'!$F:$F&gt;=($C$2+4)),0)),"Time Off"),IFERROR(INDEX(Roster!$D:$J,MATCH($A13,Roster!$A:$A,0),WEEKDAY($C$2+4,2)),"OFF")))</f>
        <v>9am–5pm</v>
      </c>
      <c r="H13" s="8" t="str">
        <f aca="false">IF($C$2="","",IF(COUNTIFS('Time Off'!$C:$C,$A13,'Time Off'!$I:$I,"Approved",'Time Off'!$E:$E,"&lt;="&amp;($C$2+5),'Time Off'!$F:$F,"&gt;="&amp;($C$2+5))&gt;0,IFERROR(INDEX('Time Off'!$H:$H,MATCH(1,('Time Off'!$C:$C=$A13)*('Time Off'!$I:$I="Approved")*('Time Off'!$E:$E&lt;=($C$2+5))*('Time Off'!$F:$F&gt;=($C$2+5)),0)),"Time Off"),IFERROR(INDEX(Roster!$D:$J,MATCH($A13,Roster!$A:$A,0),WEEKDAY($C$2+5,2)),"OFF")))</f>
        <v>OFF</v>
      </c>
      <c r="I13" s="8" t="str">
        <f aca="false">IF($C$2="","",IF(COUNTIFS('Time Off'!$C:$C,$A13,'Time Off'!$I:$I,"Approved",'Time Off'!$E:$E,"&lt;="&amp;($C$2+6),'Time Off'!$F:$F,"&gt;="&amp;($C$2+6))&gt;0,IFERROR(INDEX('Time Off'!$H:$H,MATCH(1,('Time Off'!$C:$C=$A13)*('Time Off'!$I:$I="Approved")*('Time Off'!$E:$E&lt;=($C$2+6))*('Time Off'!$F:$F&gt;=($C$2+6)),0)),"Time Off"),IFERROR(INDEX(Roster!$D:$J,MATCH($A13,Roster!$A:$A,0),WEEKDAY($C$2+6,2)),"OFF")))</f>
        <v>OFF</v>
      </c>
      <c r="J13" s="28" t="n">
        <f aca="false">IFERROR(INDEX(Roster!$K:$K,MATCH($A13,Roster!$A:$A,0)),0)-COUNTIF(C13:I13,"Time Off")*8-COUNTIF(C13:I13,"Sick")*8-COUNTIF(C13:I13,"Vacation")*8-COUNTIF(C13:I13,"Personal")*8-COUNTIF(C13:I13,"PTO")*8</f>
        <v>32</v>
      </c>
    </row>
    <row r="14" customFormat="false" ht="19.5" hidden="false" customHeight="true" outlineLevel="0" collapsed="false">
      <c r="A14" s="7" t="s">
        <v>29</v>
      </c>
      <c r="B14" s="8" t="s">
        <v>28</v>
      </c>
      <c r="C14" s="8" t="str">
        <f aca="false">IF($C$2="","",IF(COUNTIFS('Time Off'!$C:$C,$A14,'Time Off'!$I:$I,"Approved",'Time Off'!$E:$E,"&lt;="&amp;($C$2+0),'Time Off'!$F:$F,"&gt;="&amp;($C$2+0))&gt;0,IFERROR(INDEX('Time Off'!$H:$H,MATCH(1,('Time Off'!$C:$C=$A14)*('Time Off'!$I:$I="Approved")*('Time Off'!$E:$E&lt;=($C$2+0))*('Time Off'!$F:$F&gt;=($C$2+0)),0)),"Time Off"),IFERROR(INDEX(Roster!$D:$J,MATCH($A14,Roster!$A:$A,0),WEEKDAY($C$2+0,2)),"OFF")))</f>
        <v>10am–6pm</v>
      </c>
      <c r="D14" s="8" t="str">
        <f aca="false">IF($C$2="","",IF(COUNTIFS('Time Off'!$C:$C,$A14,'Time Off'!$I:$I,"Approved",'Time Off'!$E:$E,"&lt;="&amp;($C$2+1),'Time Off'!$F:$F,"&gt;="&amp;($C$2+1))&gt;0,IFERROR(INDEX('Time Off'!$H:$H,MATCH(1,('Time Off'!$C:$C=$A14)*('Time Off'!$I:$I="Approved")*('Time Off'!$E:$E&lt;=($C$2+1))*('Time Off'!$F:$F&gt;=($C$2+1)),0)),"Time Off"),IFERROR(INDEX(Roster!$D:$J,MATCH($A14,Roster!$A:$A,0),WEEKDAY($C$2+1,2)),"OFF")))</f>
        <v>10am–6pm</v>
      </c>
      <c r="E14" s="8" t="str">
        <f aca="false">IF($C$2="","",IF(COUNTIFS('Time Off'!$C:$C,$A14,'Time Off'!$I:$I,"Approved",'Time Off'!$E:$E,"&lt;="&amp;($C$2+2),'Time Off'!$F:$F,"&gt;="&amp;($C$2+2))&gt;0,IFERROR(INDEX('Time Off'!$H:$H,MATCH(1,('Time Off'!$C:$C=$A14)*('Time Off'!$I:$I="Approved")*('Time Off'!$E:$E&lt;=($C$2+2))*('Time Off'!$F:$F&gt;=($C$2+2)),0)),"Time Off"),IFERROR(INDEX(Roster!$D:$J,MATCH($A14,Roster!$A:$A,0),WEEKDAY($C$2+2,2)),"OFF")))</f>
        <v>OFF</v>
      </c>
      <c r="F14" s="8" t="str">
        <f aca="false">IF($C$2="","",IF(COUNTIFS('Time Off'!$C:$C,$A14,'Time Off'!$I:$I,"Approved",'Time Off'!$E:$E,"&lt;="&amp;($C$2+3),'Time Off'!$F:$F,"&gt;="&amp;($C$2+3))&gt;0,IFERROR(INDEX('Time Off'!$H:$H,MATCH(1,('Time Off'!$C:$C=$A14)*('Time Off'!$I:$I="Approved")*('Time Off'!$E:$E&lt;=($C$2+3))*('Time Off'!$F:$F&gt;=($C$2+3)),0)),"Time Off"),IFERROR(INDEX(Roster!$D:$J,MATCH($A14,Roster!$A:$A,0),WEEKDAY($C$2+3,2)),"OFF")))</f>
        <v>10am–6pm</v>
      </c>
      <c r="G14" s="8" t="str">
        <f aca="false">IF($C$2="","",IF(COUNTIFS('Time Off'!$C:$C,$A14,'Time Off'!$I:$I,"Approved",'Time Off'!$E:$E,"&lt;="&amp;($C$2+4),'Time Off'!$F:$F,"&gt;="&amp;($C$2+4))&gt;0,IFERROR(INDEX('Time Off'!$H:$H,MATCH(1,('Time Off'!$C:$C=$A14)*('Time Off'!$I:$I="Approved")*('Time Off'!$E:$E&lt;=($C$2+4))*('Time Off'!$F:$F&gt;=($C$2+4)),0)),"Time Off"),IFERROR(INDEX(Roster!$D:$J,MATCH($A14,Roster!$A:$A,0),WEEKDAY($C$2+4,2)),"OFF")))</f>
        <v>10am–6pm</v>
      </c>
      <c r="H14" s="8" t="str">
        <f aca="false">IF($C$2="","",IF(COUNTIFS('Time Off'!$C:$C,$A14,'Time Off'!$I:$I,"Approved",'Time Off'!$E:$E,"&lt;="&amp;($C$2+5),'Time Off'!$F:$F,"&gt;="&amp;($C$2+5))&gt;0,IFERROR(INDEX('Time Off'!$H:$H,MATCH(1,('Time Off'!$C:$C=$A14)*('Time Off'!$I:$I="Approved")*('Time Off'!$E:$E&lt;=($C$2+5))*('Time Off'!$F:$F&gt;=($C$2+5)),0)),"Time Off"),IFERROR(INDEX(Roster!$D:$J,MATCH($A14,Roster!$A:$A,0),WEEKDAY($C$2+5,2)),"OFF")))</f>
        <v>10am–6pm</v>
      </c>
      <c r="I14" s="8" t="str">
        <f aca="false">IF($C$2="","",IF(COUNTIFS('Time Off'!$C:$C,$A14,'Time Off'!$I:$I,"Approved",'Time Off'!$E:$E,"&lt;="&amp;($C$2+6),'Time Off'!$F:$F,"&gt;="&amp;($C$2+6))&gt;0,IFERROR(INDEX('Time Off'!$H:$H,MATCH(1,('Time Off'!$C:$C=$A14)*('Time Off'!$I:$I="Approved")*('Time Off'!$E:$E&lt;=($C$2+6))*('Time Off'!$F:$F&gt;=($C$2+6)),0)),"Time Off"),IFERROR(INDEX(Roster!$D:$J,MATCH($A14,Roster!$A:$A,0),WEEKDAY($C$2+6,2)),"OFF")))</f>
        <v>OFF</v>
      </c>
      <c r="J14" s="28" t="n">
        <f aca="false">IFERROR(INDEX(Roster!$K:$K,MATCH($A14,Roster!$A:$A,0)),0)-COUNTIF(C14:I14,"Time Off")*8-COUNTIF(C14:I14,"Sick")*8-COUNTIF(C14:I14,"Vacation")*8-COUNTIF(C14:I14,"Personal")*8-COUNTIF(C14:I14,"PTO")*8</f>
        <v>40</v>
      </c>
    </row>
    <row r="15" customFormat="false" ht="19.5" hidden="false" customHeight="true" outlineLevel="0" collapsed="false">
      <c r="A15" s="7" t="s">
        <v>30</v>
      </c>
      <c r="B15" s="8" t="s">
        <v>28</v>
      </c>
      <c r="C15" s="8" t="str">
        <f aca="false">IF($C$2="","",IF(COUNTIFS('Time Off'!$C:$C,$A15,'Time Off'!$I:$I,"Approved",'Time Off'!$E:$E,"&lt;="&amp;($C$2+0),'Time Off'!$F:$F,"&gt;="&amp;($C$2+0))&gt;0,IFERROR(INDEX('Time Off'!$H:$H,MATCH(1,('Time Off'!$C:$C=$A15)*('Time Off'!$I:$I="Approved")*('Time Off'!$E:$E&lt;=($C$2+0))*('Time Off'!$F:$F&gt;=($C$2+0)),0)),"Time Off"),IFERROR(INDEX(Roster!$D:$J,MATCH($A15,Roster!$A:$A,0),WEEKDAY($C$2+0,2)),"OFF")))</f>
        <v>9am–3pm</v>
      </c>
      <c r="D15" s="8" t="str">
        <f aca="false">IF($C$2="","",IF(COUNTIFS('Time Off'!$C:$C,$A15,'Time Off'!$I:$I,"Approved",'Time Off'!$E:$E,"&lt;="&amp;($C$2+1),'Time Off'!$F:$F,"&gt;="&amp;($C$2+1))&gt;0,IFERROR(INDEX('Time Off'!$H:$H,MATCH(1,('Time Off'!$C:$C=$A15)*('Time Off'!$I:$I="Approved")*('Time Off'!$E:$E&lt;=($C$2+1))*('Time Off'!$F:$F&gt;=($C$2+1)),0)),"Time Off"),IFERROR(INDEX(Roster!$D:$J,MATCH($A15,Roster!$A:$A,0),WEEKDAY($C$2+1,2)),"OFF")))</f>
        <v>9am–3pm</v>
      </c>
      <c r="E15" s="8" t="str">
        <f aca="false">IF($C$2="","",IF(COUNTIFS('Time Off'!$C:$C,$A15,'Time Off'!$I:$I,"Approved",'Time Off'!$E:$E,"&lt;="&amp;($C$2+2),'Time Off'!$F:$F,"&gt;="&amp;($C$2+2))&gt;0,IFERROR(INDEX('Time Off'!$H:$H,MATCH(1,('Time Off'!$C:$C=$A15)*('Time Off'!$I:$I="Approved")*('Time Off'!$E:$E&lt;=($C$2+2))*('Time Off'!$F:$F&gt;=($C$2+2)),0)),"Time Off"),IFERROR(INDEX(Roster!$D:$J,MATCH($A15,Roster!$A:$A,0),WEEKDAY($C$2+2,2)),"OFF")))</f>
        <v>9am–3pm</v>
      </c>
      <c r="F15" s="8" t="str">
        <f aca="false">IF($C$2="","",IF(COUNTIFS('Time Off'!$C:$C,$A15,'Time Off'!$I:$I,"Approved",'Time Off'!$E:$E,"&lt;="&amp;($C$2+3),'Time Off'!$F:$F,"&gt;="&amp;($C$2+3))&gt;0,IFERROR(INDEX('Time Off'!$H:$H,MATCH(1,('Time Off'!$C:$C=$A15)*('Time Off'!$I:$I="Approved")*('Time Off'!$E:$E&lt;=($C$2+3))*('Time Off'!$F:$F&gt;=($C$2+3)),0)),"Time Off"),IFERROR(INDEX(Roster!$D:$J,MATCH($A15,Roster!$A:$A,0),WEEKDAY($C$2+3,2)),"OFF")))</f>
        <v>9am–3pm</v>
      </c>
      <c r="G15" s="8" t="str">
        <f aca="false">IF($C$2="","",IF(COUNTIFS('Time Off'!$C:$C,$A15,'Time Off'!$I:$I,"Approved",'Time Off'!$E:$E,"&lt;="&amp;($C$2+4),'Time Off'!$F:$F,"&gt;="&amp;($C$2+4))&gt;0,IFERROR(INDEX('Time Off'!$H:$H,MATCH(1,('Time Off'!$C:$C=$A15)*('Time Off'!$I:$I="Approved")*('Time Off'!$E:$E&lt;=($C$2+4))*('Time Off'!$F:$F&gt;=($C$2+4)),0)),"Time Off"),IFERROR(INDEX(Roster!$D:$J,MATCH($A15,Roster!$A:$A,0),WEEKDAY($C$2+4,2)),"OFF")))</f>
        <v>9am–3pm</v>
      </c>
      <c r="H15" s="8" t="str">
        <f aca="false">IF($C$2="","",IF(COUNTIFS('Time Off'!$C:$C,$A15,'Time Off'!$I:$I,"Approved",'Time Off'!$E:$E,"&lt;="&amp;($C$2+5),'Time Off'!$F:$F,"&gt;="&amp;($C$2+5))&gt;0,IFERROR(INDEX('Time Off'!$H:$H,MATCH(1,('Time Off'!$C:$C=$A15)*('Time Off'!$I:$I="Approved")*('Time Off'!$E:$E&lt;=($C$2+5))*('Time Off'!$F:$F&gt;=($C$2+5)),0)),"Time Off"),IFERROR(INDEX(Roster!$D:$J,MATCH($A15,Roster!$A:$A,0),WEEKDAY($C$2+5,2)),"OFF")))</f>
        <v>OFF</v>
      </c>
      <c r="I15" s="8" t="str">
        <f aca="false">IF($C$2="","",IF(COUNTIFS('Time Off'!$C:$C,$A15,'Time Off'!$I:$I,"Approved",'Time Off'!$E:$E,"&lt;="&amp;($C$2+6),'Time Off'!$F:$F,"&gt;="&amp;($C$2+6))&gt;0,IFERROR(INDEX('Time Off'!$H:$H,MATCH(1,('Time Off'!$C:$C=$A15)*('Time Off'!$I:$I="Approved")*('Time Off'!$E:$E&lt;=($C$2+6))*('Time Off'!$F:$F&gt;=($C$2+6)),0)),"Time Off"),IFERROR(INDEX(Roster!$D:$J,MATCH($A15,Roster!$A:$A,0),WEEKDAY($C$2+6,2)),"OFF")))</f>
        <v>OFF</v>
      </c>
      <c r="J15" s="28" t="n">
        <f aca="false">IFERROR(INDEX(Roster!$K:$K,MATCH($A15,Roster!$A:$A,0)),0)-COUNTIF(C15:I15,"Time Off")*8-COUNTIF(C15:I15,"Sick")*8-COUNTIF(C15:I15,"Vacation")*8-COUNTIF(C15:I15,"Personal")*8-COUNTIF(C15:I15,"PTO")*8</f>
        <v>30</v>
      </c>
    </row>
    <row r="16" customFormat="false" ht="19.5" hidden="false" customHeight="true" outlineLevel="0" collapsed="false">
      <c r="A16" s="7" t="s">
        <v>32</v>
      </c>
      <c r="B16" s="8" t="s">
        <v>28</v>
      </c>
      <c r="C16" s="8" t="str">
        <f aca="false">IF($C$2="","",IF(COUNTIFS('Time Off'!$C:$C,$A16,'Time Off'!$I:$I,"Approved",'Time Off'!$E:$E,"&lt;="&amp;($C$2+0),'Time Off'!$F:$F,"&gt;="&amp;($C$2+0))&gt;0,IFERROR(INDEX('Time Off'!$H:$H,MATCH(1,('Time Off'!$C:$C=$A16)*('Time Off'!$I:$I="Approved")*('Time Off'!$E:$E&lt;=($C$2+0))*('Time Off'!$F:$F&gt;=($C$2+0)),0)),"Time Off"),IFERROR(INDEX(Roster!$D:$J,MATCH($A16,Roster!$A:$A,0),WEEKDAY($C$2+0,2)),"OFF")))</f>
        <v>12pm–8pm</v>
      </c>
      <c r="D16" s="8" t="str">
        <f aca="false">IF($C$2="","",IF(COUNTIFS('Time Off'!$C:$C,$A16,'Time Off'!$I:$I,"Approved",'Time Off'!$E:$E,"&lt;="&amp;($C$2+1),'Time Off'!$F:$F,"&gt;="&amp;($C$2+1))&gt;0,IFERROR(INDEX('Time Off'!$H:$H,MATCH(1,('Time Off'!$C:$C=$A16)*('Time Off'!$I:$I="Approved")*('Time Off'!$E:$E&lt;=($C$2+1))*('Time Off'!$F:$F&gt;=($C$2+1)),0)),"Time Off"),IFERROR(INDEX(Roster!$D:$J,MATCH($A16,Roster!$A:$A,0),WEEKDAY($C$2+1,2)),"OFF")))</f>
        <v>12pm–8pm</v>
      </c>
      <c r="E16" s="8" t="str">
        <f aca="false">IF($C$2="","",IF(COUNTIFS('Time Off'!$C:$C,$A16,'Time Off'!$I:$I,"Approved",'Time Off'!$E:$E,"&lt;="&amp;($C$2+2),'Time Off'!$F:$F,"&gt;="&amp;($C$2+2))&gt;0,IFERROR(INDEX('Time Off'!$H:$H,MATCH(1,('Time Off'!$C:$C=$A16)*('Time Off'!$I:$I="Approved")*('Time Off'!$E:$E&lt;=($C$2+2))*('Time Off'!$F:$F&gt;=($C$2+2)),0)),"Time Off"),IFERROR(INDEX(Roster!$D:$J,MATCH($A16,Roster!$A:$A,0),WEEKDAY($C$2+2,2)),"OFF")))</f>
        <v>12pm–8pm</v>
      </c>
      <c r="F16" s="8" t="str">
        <f aca="false">IF($C$2="","",IF(COUNTIFS('Time Off'!$C:$C,$A16,'Time Off'!$I:$I,"Approved",'Time Off'!$E:$E,"&lt;="&amp;($C$2+3),'Time Off'!$F:$F,"&gt;="&amp;($C$2+3))&gt;0,IFERROR(INDEX('Time Off'!$H:$H,MATCH(1,('Time Off'!$C:$C=$A16)*('Time Off'!$I:$I="Approved")*('Time Off'!$E:$E&lt;=($C$2+3))*('Time Off'!$F:$F&gt;=($C$2+3)),0)),"Time Off"),IFERROR(INDEX(Roster!$D:$J,MATCH($A16,Roster!$A:$A,0),WEEKDAY($C$2+3,2)),"OFF")))</f>
        <v>12pm–8pm</v>
      </c>
      <c r="G16" s="8" t="str">
        <f aca="false">IF($C$2="","",IF(COUNTIFS('Time Off'!$C:$C,$A16,'Time Off'!$I:$I,"Approved",'Time Off'!$E:$E,"&lt;="&amp;($C$2+4),'Time Off'!$F:$F,"&gt;="&amp;($C$2+4))&gt;0,IFERROR(INDEX('Time Off'!$H:$H,MATCH(1,('Time Off'!$C:$C=$A16)*('Time Off'!$I:$I="Approved")*('Time Off'!$E:$E&lt;=($C$2+4))*('Time Off'!$F:$F&gt;=($C$2+4)),0)),"Time Off"),IFERROR(INDEX(Roster!$D:$J,MATCH($A16,Roster!$A:$A,0),WEEKDAY($C$2+4,2)),"OFF")))</f>
        <v>12pm–8pm</v>
      </c>
      <c r="H16" s="8" t="str">
        <f aca="false">IF($C$2="","",IF(COUNTIFS('Time Off'!$C:$C,$A16,'Time Off'!$I:$I,"Approved",'Time Off'!$E:$E,"&lt;="&amp;($C$2+5),'Time Off'!$F:$F,"&gt;="&amp;($C$2+5))&gt;0,IFERROR(INDEX('Time Off'!$H:$H,MATCH(1,('Time Off'!$C:$C=$A16)*('Time Off'!$I:$I="Approved")*('Time Off'!$E:$E&lt;=($C$2+5))*('Time Off'!$F:$F&gt;=($C$2+5)),0)),"Time Off"),IFERROR(INDEX(Roster!$D:$J,MATCH($A16,Roster!$A:$A,0),WEEKDAY($C$2+5,2)),"OFF")))</f>
        <v>OFF</v>
      </c>
      <c r="I16" s="8" t="str">
        <f aca="false">IF($C$2="","",IF(COUNTIFS('Time Off'!$C:$C,$A16,'Time Off'!$I:$I,"Approved",'Time Off'!$E:$E,"&lt;="&amp;($C$2+6),'Time Off'!$F:$F,"&gt;="&amp;($C$2+6))&gt;0,IFERROR(INDEX('Time Off'!$H:$H,MATCH(1,('Time Off'!$C:$C=$A16)*('Time Off'!$I:$I="Approved")*('Time Off'!$E:$E&lt;=($C$2+6))*('Time Off'!$F:$F&gt;=($C$2+6)),0)),"Time Off"),IFERROR(INDEX(Roster!$D:$J,MATCH($A16,Roster!$A:$A,0),WEEKDAY($C$2+6,2)),"OFF")))</f>
        <v>OFF</v>
      </c>
      <c r="J16" s="28" t="n">
        <f aca="false">IFERROR(INDEX(Roster!$K:$K,MATCH($A16,Roster!$A:$A,0)),0)-COUNTIF(C16:I16,"Time Off")*8-COUNTIF(C16:I16,"Sick")*8-COUNTIF(C16:I16,"Vacation")*8-COUNTIF(C16:I16,"Personal")*8-COUNTIF(C16:I16,"PTO")*8</f>
        <v>40</v>
      </c>
    </row>
    <row r="17" customFormat="false" ht="19.5" hidden="false" customHeight="true" outlineLevel="0" collapsed="false">
      <c r="A17" s="7" t="s">
        <v>34</v>
      </c>
      <c r="B17" s="8" t="s">
        <v>28</v>
      </c>
      <c r="C17" s="8" t="str">
        <f aca="false">IF($C$2="","",IF(COUNTIFS('Time Off'!$C:$C,$A17,'Time Off'!$I:$I,"Approved",'Time Off'!$E:$E,"&lt;="&amp;($C$2+0),'Time Off'!$F:$F,"&gt;="&amp;($C$2+0))&gt;0,IFERROR(INDEX('Time Off'!$H:$H,MATCH(1,('Time Off'!$C:$C=$A17)*('Time Off'!$I:$I="Approved")*('Time Off'!$E:$E&lt;=($C$2+0))*('Time Off'!$F:$F&gt;=($C$2+0)),0)),"Time Off"),IFERROR(INDEX(Roster!$D:$J,MATCH($A17,Roster!$A:$A,0),WEEKDAY($C$2+0,2)),"OFF")))</f>
        <v>OFF</v>
      </c>
      <c r="D17" s="8" t="str">
        <f aca="false">IF($C$2="","",IF(COUNTIFS('Time Off'!$C:$C,$A17,'Time Off'!$I:$I,"Approved",'Time Off'!$E:$E,"&lt;="&amp;($C$2+1),'Time Off'!$F:$F,"&gt;="&amp;($C$2+1))&gt;0,IFERROR(INDEX('Time Off'!$H:$H,MATCH(1,('Time Off'!$C:$C=$A17)*('Time Off'!$I:$I="Approved")*('Time Off'!$E:$E&lt;=($C$2+1))*('Time Off'!$F:$F&gt;=($C$2+1)),0)),"Time Off"),IFERROR(INDEX(Roster!$D:$J,MATCH($A17,Roster!$A:$A,0),WEEKDAY($C$2+1,2)),"OFF")))</f>
        <v>9am–5pm</v>
      </c>
      <c r="E17" s="8" t="str">
        <f aca="false">IF($C$2="","",IF(COUNTIFS('Time Off'!$C:$C,$A17,'Time Off'!$I:$I,"Approved",'Time Off'!$E:$E,"&lt;="&amp;($C$2+2),'Time Off'!$F:$F,"&gt;="&amp;($C$2+2))&gt;0,IFERROR(INDEX('Time Off'!$H:$H,MATCH(1,('Time Off'!$C:$C=$A17)*('Time Off'!$I:$I="Approved")*('Time Off'!$E:$E&lt;=($C$2+2))*('Time Off'!$F:$F&gt;=($C$2+2)),0)),"Time Off"),IFERROR(INDEX(Roster!$D:$J,MATCH($A17,Roster!$A:$A,0),WEEKDAY($C$2+2,2)),"OFF")))</f>
        <v>9am–5pm</v>
      </c>
      <c r="F17" s="8" t="str">
        <f aca="false">IF($C$2="","",IF(COUNTIFS('Time Off'!$C:$C,$A17,'Time Off'!$I:$I,"Approved",'Time Off'!$E:$E,"&lt;="&amp;($C$2+3),'Time Off'!$F:$F,"&gt;="&amp;($C$2+3))&gt;0,IFERROR(INDEX('Time Off'!$H:$H,MATCH(1,('Time Off'!$C:$C=$A17)*('Time Off'!$I:$I="Approved")*('Time Off'!$E:$E&lt;=($C$2+3))*('Time Off'!$F:$F&gt;=($C$2+3)),0)),"Time Off"),IFERROR(INDEX(Roster!$D:$J,MATCH($A17,Roster!$A:$A,0),WEEKDAY($C$2+3,2)),"OFF")))</f>
        <v>9am–5pm</v>
      </c>
      <c r="G17" s="8" t="str">
        <f aca="false">IF($C$2="","",IF(COUNTIFS('Time Off'!$C:$C,$A17,'Time Off'!$I:$I,"Approved",'Time Off'!$E:$E,"&lt;="&amp;($C$2+4),'Time Off'!$F:$F,"&gt;="&amp;($C$2+4))&gt;0,IFERROR(INDEX('Time Off'!$H:$H,MATCH(1,('Time Off'!$C:$C=$A17)*('Time Off'!$I:$I="Approved")*('Time Off'!$E:$E&lt;=($C$2+4))*('Time Off'!$F:$F&gt;=($C$2+4)),0)),"Time Off"),IFERROR(INDEX(Roster!$D:$J,MATCH($A17,Roster!$A:$A,0),WEEKDAY($C$2+4,2)),"OFF")))</f>
        <v>9am–5pm</v>
      </c>
      <c r="H17" s="8" t="str">
        <f aca="false">IF($C$2="","",IF(COUNTIFS('Time Off'!$C:$C,$A17,'Time Off'!$I:$I,"Approved",'Time Off'!$E:$E,"&lt;="&amp;($C$2+5),'Time Off'!$F:$F,"&gt;="&amp;($C$2+5))&gt;0,IFERROR(INDEX('Time Off'!$H:$H,MATCH(1,('Time Off'!$C:$C=$A17)*('Time Off'!$I:$I="Approved")*('Time Off'!$E:$E&lt;=($C$2+5))*('Time Off'!$F:$F&gt;=($C$2+5)),0)),"Time Off"),IFERROR(INDEX(Roster!$D:$J,MATCH($A17,Roster!$A:$A,0),WEEKDAY($C$2+5,2)),"OFF")))</f>
        <v>9am–5pm</v>
      </c>
      <c r="I17" s="8" t="str">
        <f aca="false">IF($C$2="","",IF(COUNTIFS('Time Off'!$C:$C,$A17,'Time Off'!$I:$I,"Approved",'Time Off'!$E:$E,"&lt;="&amp;($C$2+6),'Time Off'!$F:$F,"&gt;="&amp;($C$2+6))&gt;0,IFERROR(INDEX('Time Off'!$H:$H,MATCH(1,('Time Off'!$C:$C=$A17)*('Time Off'!$I:$I="Approved")*('Time Off'!$E:$E&lt;=($C$2+6))*('Time Off'!$F:$F&gt;=($C$2+6)),0)),"Time Off"),IFERROR(INDEX(Roster!$D:$J,MATCH($A17,Roster!$A:$A,0),WEEKDAY($C$2+6,2)),"OFF")))</f>
        <v>OFF</v>
      </c>
      <c r="J17" s="28" t="n">
        <f aca="false">IFERROR(INDEX(Roster!$K:$K,MATCH($A17,Roster!$A:$A,0)),0)-COUNTIF(C17:I17,"Time Off")*8-COUNTIF(C17:I17,"Sick")*8-COUNTIF(C17:I17,"Vacation")*8-COUNTIF(C17:I17,"Personal")*8-COUNTIF(C17:I17,"PTO")*8</f>
        <v>40</v>
      </c>
    </row>
    <row r="18" customFormat="false" ht="19.5" hidden="false" customHeight="true" outlineLevel="0" collapsed="false">
      <c r="A18" s="29" t="s">
        <v>59</v>
      </c>
      <c r="B18" s="29"/>
      <c r="C18" s="30" t="n">
        <f aca="false">COUNTIFS(B13:B17,"Retail",C13:C17,"&lt;&gt;TIME OFF",C13:C17,"&lt;&gt;OFF",C13:C17,"&lt;&gt;")</f>
        <v>4</v>
      </c>
      <c r="D18" s="30" t="n">
        <f aca="false">COUNTIFS(B13:B17,"Retail",D13:D17,"&lt;&gt;TIME OFF",D13:D17,"&lt;&gt;OFF",D13:D17,"&lt;&gt;")</f>
        <v>5</v>
      </c>
      <c r="E18" s="30" t="n">
        <f aca="false">COUNTIFS(B13:B17,"Retail",E13:E17,"&lt;&gt;TIME OFF",E13:E17,"&lt;&gt;OFF",E13:E17,"&lt;&gt;")</f>
        <v>4</v>
      </c>
      <c r="F18" s="30" t="n">
        <f aca="false">COUNTIFS(B13:B17,"Retail",F13:F17,"&lt;&gt;TIME OFF",F13:F17,"&lt;&gt;OFF",F13:F17,"&lt;&gt;")</f>
        <v>5</v>
      </c>
      <c r="G18" s="30" t="n">
        <f aca="false">COUNTIFS(B13:B17,"Retail",G13:G17,"&lt;&gt;TIME OFF",G13:G17,"&lt;&gt;OFF",G13:G17,"&lt;&gt;")</f>
        <v>5</v>
      </c>
      <c r="H18" s="30" t="n">
        <f aca="false">COUNTIFS(B13:B17,"Retail",H13:H17,"&lt;&gt;TIME OFF",H13:H17,"&lt;&gt;OFF",H13:H17,"&lt;&gt;")</f>
        <v>2</v>
      </c>
      <c r="I18" s="30" t="n">
        <f aca="false">COUNTIFS(B13:B17,"Retail",I13:I17,"&lt;&gt;TIME OFF",I13:I17,"&lt;&gt;OFF",I13:I17,"&lt;&gt;")</f>
        <v>0</v>
      </c>
      <c r="J18" s="31"/>
    </row>
    <row r="20" customFormat="false" ht="21.75" hidden="false" customHeight="true" outlineLevel="0" collapsed="false">
      <c r="A20" s="32" t="s">
        <v>61</v>
      </c>
      <c r="B20" s="32"/>
      <c r="C20" s="33" t="n">
        <f aca="false">C10+C18</f>
        <v>8</v>
      </c>
      <c r="D20" s="33" t="n">
        <f aca="false">D10+D18</f>
        <v>10</v>
      </c>
      <c r="E20" s="33" t="n">
        <f aca="false">E10+E18</f>
        <v>9</v>
      </c>
      <c r="F20" s="33" t="n">
        <f aca="false">F10+F18</f>
        <v>10</v>
      </c>
      <c r="G20" s="33" t="n">
        <f aca="false">G10+G18</f>
        <v>10</v>
      </c>
      <c r="H20" s="33" t="n">
        <f aca="false">H10+H18</f>
        <v>3</v>
      </c>
      <c r="I20" s="33" t="n">
        <f aca="false">I10+I18</f>
        <v>0</v>
      </c>
      <c r="J20" s="34"/>
    </row>
  </sheetData>
  <mergeCells count="8">
    <mergeCell ref="A1:J1"/>
    <mergeCell ref="A2:B2"/>
    <mergeCell ref="D2:J2"/>
    <mergeCell ref="A4:J4"/>
    <mergeCell ref="A10:B10"/>
    <mergeCell ref="A12:J12"/>
    <mergeCell ref="A18:B18"/>
    <mergeCell ref="A20:B20"/>
  </mergeCells>
  <conditionalFormatting sqref="C5:I17">
    <cfRule type="cellIs" priority="2" operator="equal" aboveAverage="0" equalAverage="0" bottom="0" percent="0" rank="0" text="" dxfId="4">
      <formula>"Time Off"</formula>
    </cfRule>
    <cfRule type="cellIs" priority="3" operator="equal" aboveAverage="0" equalAverage="0" bottom="0" percent="0" rank="0" text="" dxfId="4">
      <formula>"PTO"</formula>
    </cfRule>
    <cfRule type="cellIs" priority="4" operator="equal" aboveAverage="0" equalAverage="0" bottom="0" percent="0" rank="0" text="" dxfId="4">
      <formula>"Sick"</formula>
    </cfRule>
    <cfRule type="cellIs" priority="5" operator="equal" aboveAverage="0" equalAverage="0" bottom="0" percent="0" rank="0" text="" dxfId="4">
      <formula>"Vacation"</formula>
    </cfRule>
    <cfRule type="cellIs" priority="6" operator="equal" aboveAverage="0" equalAverage="0" bottom="0" percent="0" rank="0" text="" dxfId="4">
      <formula>"Personal"</formula>
    </cfRule>
    <cfRule type="cellIs" priority="7" operator="equal" aboveAverage="0" equalAverage="0" bottom="0" percent="0" rank="0" text="" dxfId="4">
      <formula>"Bereavement"</formula>
    </cfRule>
    <cfRule type="cellIs" priority="8" operator="equal" aboveAverage="0" equalAverage="0" bottom="0" percent="0" rank="0" text="" dxfId="4">
      <formula>"Holiday"</formula>
    </cfRule>
    <cfRule type="cellIs" priority="9" operator="equal" aboveAverage="0" equalAverage="0" bottom="0" percent="0" rank="0" text="" dxfId="5">
      <formula>"OFF"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B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60"/>
  </cols>
  <sheetData>
    <row r="1" customFormat="false" ht="31.5" hidden="false" customHeight="true" outlineLevel="0" collapsed="false">
      <c r="B1" s="35" t="s">
        <v>62</v>
      </c>
      <c r="C1" s="35"/>
    </row>
    <row r="2" customFormat="false" ht="7.5" hidden="false" customHeight="true" outlineLevel="0" collapsed="false">
      <c r="B2" s="26"/>
      <c r="C2" s="36"/>
    </row>
    <row r="3" customFormat="false" ht="21.75" hidden="false" customHeight="true" outlineLevel="0" collapsed="false">
      <c r="B3" s="37" t="s">
        <v>63</v>
      </c>
      <c r="C3" s="38"/>
    </row>
    <row r="4" customFormat="false" ht="39.75" hidden="false" customHeight="true" outlineLevel="0" collapsed="false">
      <c r="B4" s="26" t="s">
        <v>64</v>
      </c>
      <c r="C4" s="39" t="s">
        <v>65</v>
      </c>
    </row>
    <row r="5" customFormat="false" ht="31.5" hidden="false" customHeight="true" outlineLevel="0" collapsed="false">
      <c r="B5" s="26" t="s">
        <v>66</v>
      </c>
      <c r="C5" s="36" t="s">
        <v>67</v>
      </c>
    </row>
    <row r="6" customFormat="false" ht="7.5" hidden="false" customHeight="true" outlineLevel="0" collapsed="false">
      <c r="B6" s="26"/>
      <c r="C6" s="36"/>
    </row>
    <row r="7" customFormat="false" ht="21.75" hidden="false" customHeight="true" outlineLevel="0" collapsed="false">
      <c r="B7" s="37" t="s">
        <v>68</v>
      </c>
      <c r="C7" s="38"/>
    </row>
    <row r="8" customFormat="false" ht="36" hidden="false" customHeight="true" outlineLevel="0" collapsed="false">
      <c r="B8" s="26" t="s">
        <v>69</v>
      </c>
      <c r="C8" s="39" t="s">
        <v>70</v>
      </c>
    </row>
    <row r="9" customFormat="false" ht="49.5" hidden="false" customHeight="true" outlineLevel="0" collapsed="false">
      <c r="B9" s="26" t="s">
        <v>71</v>
      </c>
      <c r="C9" s="40" t="s">
        <v>72</v>
      </c>
    </row>
    <row r="10" customFormat="false" ht="36" hidden="false" customHeight="true" outlineLevel="0" collapsed="false">
      <c r="B10" s="26" t="s">
        <v>73</v>
      </c>
      <c r="C10" s="36" t="s">
        <v>74</v>
      </c>
    </row>
    <row r="11" customFormat="false" ht="7.5" hidden="false" customHeight="true" outlineLevel="0" collapsed="false">
      <c r="B11" s="26"/>
      <c r="C11" s="36"/>
    </row>
    <row r="12" customFormat="false" ht="21.75" hidden="false" customHeight="true" outlineLevel="0" collapsed="false">
      <c r="B12" s="37" t="s">
        <v>75</v>
      </c>
      <c r="C12" s="38"/>
    </row>
    <row r="13" customFormat="false" ht="36" hidden="false" customHeight="true" outlineLevel="0" collapsed="false">
      <c r="B13" s="26" t="s">
        <v>76</v>
      </c>
      <c r="C13" s="39" t="s">
        <v>77</v>
      </c>
    </row>
    <row r="14" customFormat="false" ht="42" hidden="false" customHeight="true" outlineLevel="0" collapsed="false">
      <c r="B14" s="26" t="s">
        <v>78</v>
      </c>
      <c r="C14" s="36" t="s">
        <v>79</v>
      </c>
    </row>
    <row r="15" customFormat="false" ht="36" hidden="false" customHeight="true" outlineLevel="0" collapsed="false">
      <c r="B15" s="26" t="s">
        <v>80</v>
      </c>
      <c r="C15" s="36" t="s">
        <v>81</v>
      </c>
    </row>
    <row r="16" customFormat="false" ht="7.5" hidden="false" customHeight="true" outlineLevel="0" collapsed="false">
      <c r="B16" s="26"/>
      <c r="C16" s="36"/>
    </row>
    <row r="17" customFormat="false" ht="21.75" hidden="false" customHeight="true" outlineLevel="0" collapsed="false">
      <c r="B17" s="37" t="s">
        <v>82</v>
      </c>
      <c r="C17" s="38"/>
    </row>
    <row r="18" customFormat="false" ht="36" hidden="false" customHeight="true" outlineLevel="0" collapsed="false">
      <c r="B18" s="26" t="s">
        <v>83</v>
      </c>
      <c r="C18" s="39" t="s">
        <v>84</v>
      </c>
    </row>
    <row r="19" customFormat="false" ht="36" hidden="false" customHeight="true" outlineLevel="0" collapsed="false">
      <c r="B19" s="26" t="s">
        <v>85</v>
      </c>
      <c r="C19" s="40" t="s">
        <v>86</v>
      </c>
    </row>
    <row r="20" customFormat="false" ht="7.5" hidden="false" customHeight="true" outlineLevel="0" collapsed="false">
      <c r="B20" s="26"/>
      <c r="C20" s="36"/>
    </row>
    <row r="21" customFormat="false" ht="21.75" hidden="false" customHeight="true" outlineLevel="0" collapsed="false">
      <c r="B21" s="41" t="s">
        <v>87</v>
      </c>
      <c r="C21" s="42"/>
    </row>
    <row r="22" customFormat="false" ht="36" hidden="false" customHeight="true" outlineLevel="0" collapsed="false">
      <c r="B22" s="26" t="s">
        <v>88</v>
      </c>
      <c r="C22" s="43" t="s">
        <v>89</v>
      </c>
    </row>
    <row r="23" customFormat="false" ht="36" hidden="false" customHeight="true" outlineLevel="0" collapsed="false">
      <c r="B23" s="26" t="s">
        <v>90</v>
      </c>
      <c r="C23" s="36" t="s">
        <v>91</v>
      </c>
    </row>
    <row r="24" customFormat="false" ht="36" hidden="false" customHeight="true" outlineLevel="0" collapsed="false">
      <c r="B24" s="26" t="s">
        <v>92</v>
      </c>
      <c r="C24" s="36" t="s">
        <v>93</v>
      </c>
    </row>
    <row r="25" customFormat="false" ht="36" hidden="false" customHeight="true" outlineLevel="0" collapsed="false">
      <c r="B25" s="26" t="s">
        <v>94</v>
      </c>
      <c r="C25" s="39" t="s">
        <v>95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2026-05-13T21:05:30Z</dcterms:created>
  <dc:creator>openpyxl</dc:creator>
  <dc:description/>
  <dc:language>en-US</dc:language>
  <cp:lastModifiedBy/>
  <dcterms:modified xsi:type="dcterms:W3CDTF">2026-05-13T21:05:30Z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